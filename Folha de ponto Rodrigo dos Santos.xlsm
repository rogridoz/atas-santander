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odri\Downloads\"/>
    </mc:Choice>
  </mc:AlternateContent>
  <xr:revisionPtr revIDLastSave="0" documentId="8_{1ED36F7E-9F2A-417A-BC93-0ABA21AAD924}" xr6:coauthVersionLast="47" xr6:coauthVersionMax="47" xr10:uidLastSave="{00000000-0000-0000-0000-000000000000}"/>
  <bookViews>
    <workbookView xWindow="-120" yWindow="-120" windowWidth="29040" windowHeight="15720"/>
  </bookViews>
  <sheets>
    <sheet name="MAIO" sheetId="1" r:id="rId1"/>
  </sheets>
  <definedNames>
    <definedName name="_xlnm.Print_Area" localSheetId="0">MAIO!$A$1:$BD$55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39" i="1" l="1"/>
  <c r="X39" i="1"/>
  <c r="BZ6" i="1"/>
  <c r="AG42" i="1"/>
  <c r="AG43" i="1"/>
  <c r="AG44" i="1"/>
  <c r="AG47" i="1" l="1"/>
  <c r="AG53" i="1" s="1"/>
</calcChain>
</file>

<file path=xl/sharedStrings.xml><?xml version="1.0" encoding="utf-8"?>
<sst xmlns="http://schemas.openxmlformats.org/spreadsheetml/2006/main" count="105" uniqueCount="64">
  <si>
    <t>FOLHA DE PONTO INDIVIDUAL DE TRABALHO</t>
  </si>
  <si>
    <t>EMPREGADOR / NOME - EMPRESA:</t>
  </si>
  <si>
    <t>CEI/CNPJ:</t>
  </si>
  <si>
    <t>Nº</t>
  </si>
  <si>
    <t>-</t>
  </si>
  <si>
    <t>EMPREGADO(A):</t>
  </si>
  <si>
    <t>CTPS / C.I. Nº e SÉRIE</t>
  </si>
  <si>
    <t>DATA DE ADMISSÃO</t>
  </si>
  <si>
    <t>FUNÇÃO</t>
  </si>
  <si>
    <t>SALÁRIO BASE R$</t>
  </si>
  <si>
    <t>HORÁRIO DE TRABALHO DE SEGUNDA A SEXTA-FEIRA</t>
  </si>
  <si>
    <t>HORÁRIO AOS SÁBADOS</t>
  </si>
  <si>
    <t>DESCANSO SEMANAL</t>
  </si>
  <si>
    <t>MÊS</t>
  </si>
  <si>
    <t>ANO</t>
  </si>
  <si>
    <t>DIAS</t>
  </si>
  <si>
    <t>ENTRADA</t>
  </si>
  <si>
    <t>ALMOÇO</t>
  </si>
  <si>
    <t>SAÍDA</t>
  </si>
  <si>
    <t>TOTAL HS</t>
  </si>
  <si>
    <t>EXTRAS</t>
  </si>
  <si>
    <t>ASSINATURA OU VISTO</t>
  </si>
  <si>
    <t>MANHÃ</t>
  </si>
  <si>
    <t>RETORNO</t>
  </si>
  <si>
    <t>TARDE</t>
  </si>
  <si>
    <t>NORMAIS</t>
  </si>
  <si>
    <t>DO(A) EMPREGADO(A)</t>
  </si>
  <si>
    <t>TOTAIS</t>
  </si>
  <si>
    <t>RESUMO GERAL</t>
  </si>
  <si>
    <t>VISTO DA FISCALIZAÇÃO</t>
  </si>
  <si>
    <t>+</t>
  </si>
  <si>
    <t>Dias ou Horas Normais</t>
  </si>
  <si>
    <t>R$</t>
  </si>
  <si>
    <t>Horas Extras a 50%</t>
  </si>
  <si>
    <t>Horas Extras a 100%</t>
  </si>
  <si>
    <t>Adicionais (Discriminar no Verso)</t>
  </si>
  <si>
    <t>Outros Proventos (Discriminar no Verso)</t>
  </si>
  <si>
    <t>=</t>
  </si>
  <si>
    <t>Sub Total / Base de Cálculo</t>
  </si>
  <si>
    <t>%</t>
  </si>
  <si>
    <t>INSS</t>
  </si>
  <si>
    <t>Dependentes do Imposto de Renda</t>
  </si>
  <si>
    <t>IRRF</t>
  </si>
  <si>
    <t>Outros Descontos (Discriminar no Verso)</t>
  </si>
  <si>
    <t>Salário Família</t>
  </si>
  <si>
    <t>Total Líquido a Receber</t>
  </si>
  <si>
    <t>ENDEREÇO / LOGRADOURO:</t>
  </si>
  <si>
    <t>BAIRRO / DISTRITO</t>
  </si>
  <si>
    <t>CIDADE</t>
  </si>
  <si>
    <t>UF</t>
  </si>
  <si>
    <t>Impresso no site: www.dokpontoeletronico.com.br</t>
  </si>
  <si>
    <t>REMUNERADO</t>
  </si>
  <si>
    <t>SANTANDER BRASIL</t>
  </si>
  <si>
    <t>RODRIGO DOS SANTOS</t>
  </si>
  <si>
    <t>ESTAGIÁRIO</t>
  </si>
  <si>
    <t>09:00 - 16h:00</t>
  </si>
  <si>
    <t>15/12/2022</t>
  </si>
  <si>
    <t>MAIO</t>
  </si>
  <si>
    <t>VILA OLÍMPIA</t>
  </si>
  <si>
    <t>SÃO PAULO</t>
  </si>
  <si>
    <t>SP</t>
  </si>
  <si>
    <t>RUA JUSCELINO KUBITSCHECK</t>
  </si>
  <si>
    <t>90.400.888/0001-42</t>
  </si>
  <si>
    <t>RuuuSuui: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</si>
</sst>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1" formatCode="_(* #,##0.00_);_(* \(#,##0.00\);_(* &quot;-&quot;??_);_(@_)"/>
    <numFmt numFmtId="178" formatCode="00&quot;:&quot;00"/>
    <numFmt numFmtId="182" formatCode="h:mm;@"/>
    <numFmt numFmtId="186" formatCode="[$-416]d;@"/>
    <numFmt numFmtId="188" formatCode="[h]:mm:ss;@"/>
  </numFmts>
  <fonts count="13" x14ac:knownFonts="1">
    <font>
      <sz val="10"/>
      <name val="Arial"/>
    </font>
    <font>
      <b/>
      <sz val="16"/>
      <name val="Arial Black"/>
      <family val="2"/>
    </font>
    <font>
      <sz val="10"/>
      <name val="Arial"/>
      <family val="2"/>
    </font>
    <font>
      <sz val="7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7"/>
      <name val="Arial"/>
      <family val="2"/>
    </font>
    <font>
      <b/>
      <sz val="7.5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16"/>
      <color theme="2" tint="-0.749992370372631"/>
      <name val="Edwardian Script ITC"/>
      <family val="4"/>
    </font>
    <font>
      <b/>
      <i/>
      <sz val="10"/>
      <color theme="2" tint="-0.749992370372631"/>
      <name val="Arial"/>
      <family val="2"/>
    </font>
    <font>
      <b/>
      <sz val="10"/>
      <color theme="2" tint="-0.74999237037263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8">
    <xf numFmtId="0" fontId="0" fillId="0" borderId="0" xfId="0"/>
    <xf numFmtId="0" fontId="2" fillId="2" borderId="0" xfId="0" applyFont="1" applyFill="1" applyProtection="1"/>
    <xf numFmtId="0" fontId="2" fillId="2" borderId="0" xfId="0" applyFont="1" applyFill="1" applyBorder="1" applyProtection="1"/>
    <xf numFmtId="0" fontId="0" fillId="2" borderId="0" xfId="0" applyFill="1"/>
    <xf numFmtId="0" fontId="3" fillId="2" borderId="1" xfId="0" applyFont="1" applyFill="1" applyBorder="1" applyAlignment="1" applyProtection="1">
      <alignment horizontal="left"/>
    </xf>
    <xf numFmtId="0" fontId="3" fillId="2" borderId="2" xfId="0" applyFont="1" applyFill="1" applyBorder="1" applyAlignment="1" applyProtection="1">
      <alignment horizontal="left"/>
    </xf>
    <xf numFmtId="0" fontId="2" fillId="2" borderId="2" xfId="0" applyFont="1" applyFill="1" applyBorder="1" applyAlignment="1" applyProtection="1"/>
    <xf numFmtId="0" fontId="2" fillId="2" borderId="3" xfId="0" applyFont="1" applyFill="1" applyBorder="1" applyAlignment="1" applyProtection="1"/>
    <xf numFmtId="0" fontId="2" fillId="2" borderId="0" xfId="0" applyFont="1" applyFill="1" applyAlignment="1" applyProtection="1">
      <alignment wrapText="1"/>
    </xf>
    <xf numFmtId="0" fontId="4" fillId="2" borderId="2" xfId="0" applyFont="1" applyFill="1" applyBorder="1" applyAlignment="1" applyProtection="1">
      <alignment horizontal="left"/>
    </xf>
    <xf numFmtId="0" fontId="2" fillId="2" borderId="2" xfId="0" applyFont="1" applyFill="1" applyBorder="1" applyAlignment="1" applyProtection="1">
      <alignment horizontal="left"/>
    </xf>
    <xf numFmtId="0" fontId="2" fillId="2" borderId="3" xfId="0" applyFont="1" applyFill="1" applyBorder="1" applyAlignment="1" applyProtection="1">
      <alignment horizontal="left"/>
    </xf>
    <xf numFmtId="0" fontId="4" fillId="2" borderId="3" xfId="0" applyFont="1" applyFill="1" applyBorder="1" applyAlignment="1" applyProtection="1">
      <alignment horizontal="left"/>
    </xf>
    <xf numFmtId="0" fontId="2" fillId="2" borderId="2" xfId="0" applyFont="1" applyFill="1" applyBorder="1" applyAlignment="1" applyProtection="1">
      <alignment horizontal="center"/>
    </xf>
    <xf numFmtId="0" fontId="3" fillId="2" borderId="2" xfId="0" applyFont="1" applyFill="1" applyBorder="1" applyAlignment="1" applyProtection="1"/>
    <xf numFmtId="0" fontId="2" fillId="2" borderId="3" xfId="0" applyFont="1" applyFill="1" applyBorder="1" applyAlignment="1" applyProtection="1">
      <alignment horizontal="center"/>
    </xf>
    <xf numFmtId="0" fontId="3" fillId="2" borderId="0" xfId="0" applyFont="1" applyFill="1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2" fillId="2" borderId="0" xfId="0" applyFont="1" applyFill="1"/>
    <xf numFmtId="0" fontId="3" fillId="2" borderId="4" xfId="0" applyFont="1" applyFill="1" applyBorder="1"/>
    <xf numFmtId="0" fontId="3" fillId="2" borderId="0" xfId="0" applyFont="1" applyFill="1" applyBorder="1"/>
    <xf numFmtId="0" fontId="3" fillId="2" borderId="5" xfId="0" applyFont="1" applyFill="1" applyBorder="1"/>
    <xf numFmtId="0" fontId="9" fillId="2" borderId="0" xfId="0" applyFont="1" applyFill="1"/>
    <xf numFmtId="0" fontId="8" fillId="2" borderId="0" xfId="0" applyFont="1" applyFill="1"/>
    <xf numFmtId="0" fontId="3" fillId="2" borderId="0" xfId="0" applyFont="1" applyFill="1" applyBorder="1" applyAlignment="1" applyProtection="1">
      <alignment vertical="top"/>
    </xf>
    <xf numFmtId="171" fontId="8" fillId="2" borderId="9" xfId="0" applyNumberFormat="1" applyFont="1" applyFill="1" applyBorder="1" applyAlignment="1">
      <alignment horizontal="right"/>
    </xf>
    <xf numFmtId="171" fontId="8" fillId="2" borderId="10" xfId="0" applyNumberFormat="1" applyFont="1" applyFill="1" applyBorder="1" applyAlignment="1">
      <alignment horizontal="right"/>
    </xf>
    <xf numFmtId="171" fontId="8" fillId="2" borderId="11" xfId="0" applyNumberFormat="1" applyFont="1" applyFill="1" applyBorder="1" applyAlignment="1">
      <alignment horizontal="right"/>
    </xf>
    <xf numFmtId="0" fontId="9" fillId="2" borderId="9" xfId="0" applyFont="1" applyFill="1" applyBorder="1" applyAlignment="1">
      <alignment horizontal="left"/>
    </xf>
    <xf numFmtId="0" fontId="9" fillId="2" borderId="10" xfId="0" applyFont="1" applyFill="1" applyBorder="1" applyAlignment="1">
      <alignment horizontal="left"/>
    </xf>
    <xf numFmtId="0" fontId="9" fillId="2" borderId="11" xfId="0" applyFont="1" applyFill="1" applyBorder="1" applyAlignment="1">
      <alignment horizontal="left"/>
    </xf>
    <xf numFmtId="0" fontId="9" fillId="2" borderId="9" xfId="0" applyFont="1" applyFill="1" applyBorder="1" applyAlignment="1">
      <alignment horizontal="center"/>
    </xf>
    <xf numFmtId="0" fontId="9" fillId="2" borderId="11" xfId="0" applyFont="1" applyFill="1" applyBorder="1" applyAlignment="1">
      <alignment horizontal="center"/>
    </xf>
    <xf numFmtId="171" fontId="9" fillId="2" borderId="9" xfId="0" applyNumberFormat="1" applyFont="1" applyFill="1" applyBorder="1" applyAlignment="1">
      <alignment horizontal="right"/>
    </xf>
    <xf numFmtId="171" fontId="9" fillId="2" borderId="10" xfId="0" applyNumberFormat="1" applyFont="1" applyFill="1" applyBorder="1" applyAlignment="1">
      <alignment horizontal="right"/>
    </xf>
    <xf numFmtId="171" fontId="9" fillId="2" borderId="11" xfId="0" applyNumberFormat="1" applyFont="1" applyFill="1" applyBorder="1" applyAlignment="1">
      <alignment horizontal="right"/>
    </xf>
    <xf numFmtId="0" fontId="8" fillId="2" borderId="9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2" borderId="9" xfId="0" applyFont="1" applyFill="1" applyBorder="1" applyAlignment="1"/>
    <xf numFmtId="0" fontId="8" fillId="2" borderId="10" xfId="0" applyFont="1" applyFill="1" applyBorder="1" applyAlignment="1"/>
    <xf numFmtId="0" fontId="8" fillId="2" borderId="11" xfId="0" applyFont="1" applyFill="1" applyBorder="1" applyAlignment="1"/>
    <xf numFmtId="0" fontId="8" fillId="2" borderId="9" xfId="0" applyFont="1" applyFill="1" applyBorder="1" applyAlignment="1">
      <alignment horizontal="left"/>
    </xf>
    <xf numFmtId="0" fontId="8" fillId="2" borderId="10" xfId="0" applyFont="1" applyFill="1" applyBorder="1" applyAlignment="1">
      <alignment horizontal="left"/>
    </xf>
    <xf numFmtId="0" fontId="8" fillId="2" borderId="11" xfId="0" applyFont="1" applyFill="1" applyBorder="1" applyAlignment="1">
      <alignment horizontal="left"/>
    </xf>
    <xf numFmtId="0" fontId="8" fillId="2" borderId="12" xfId="0" applyFont="1" applyFill="1" applyBorder="1" applyAlignment="1">
      <alignment horizontal="center"/>
    </xf>
    <xf numFmtId="171" fontId="8" fillId="2" borderId="12" xfId="0" applyNumberFormat="1" applyFont="1" applyFill="1" applyBorder="1" applyAlignment="1">
      <alignment horizontal="right"/>
    </xf>
    <xf numFmtId="0" fontId="8" fillId="2" borderId="10" xfId="0" applyFont="1" applyFill="1" applyBorder="1" applyAlignment="1">
      <alignment horizontal="center"/>
    </xf>
    <xf numFmtId="0" fontId="8" fillId="2" borderId="12" xfId="0" applyFont="1" applyFill="1" applyBorder="1" applyAlignment="1">
      <alignment horizontal="left"/>
    </xf>
    <xf numFmtId="0" fontId="9" fillId="2" borderId="10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178" fontId="8" fillId="2" borderId="9" xfId="0" applyNumberFormat="1" applyFont="1" applyFill="1" applyBorder="1" applyAlignment="1">
      <alignment horizontal="center"/>
    </xf>
    <xf numFmtId="178" fontId="8" fillId="2" borderId="10" xfId="0" applyNumberFormat="1" applyFont="1" applyFill="1" applyBorder="1" applyAlignment="1">
      <alignment horizontal="center"/>
    </xf>
    <xf numFmtId="178" fontId="8" fillId="2" borderId="11" xfId="0" applyNumberFormat="1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/>
    </xf>
    <xf numFmtId="182" fontId="8" fillId="2" borderId="12" xfId="0" applyNumberFormat="1" applyFont="1" applyFill="1" applyBorder="1" applyAlignment="1">
      <alignment horizontal="center"/>
    </xf>
    <xf numFmtId="182" fontId="8" fillId="2" borderId="9" xfId="0" applyNumberFormat="1" applyFont="1" applyFill="1" applyBorder="1" applyAlignment="1">
      <alignment horizontal="center"/>
    </xf>
    <xf numFmtId="182" fontId="8" fillId="2" borderId="10" xfId="0" applyNumberFormat="1" applyFont="1" applyFill="1" applyBorder="1" applyAlignment="1">
      <alignment horizontal="center"/>
    </xf>
    <xf numFmtId="182" fontId="8" fillId="2" borderId="11" xfId="0" applyNumberFormat="1" applyFont="1" applyFill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5" fillId="2" borderId="12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shrinkToFit="1"/>
    </xf>
    <xf numFmtId="0" fontId="5" fillId="2" borderId="2" xfId="0" applyFont="1" applyFill="1" applyBorder="1" applyAlignment="1">
      <alignment horizontal="center" shrinkToFit="1"/>
    </xf>
    <xf numFmtId="0" fontId="5" fillId="2" borderId="3" xfId="0" applyFont="1" applyFill="1" applyBorder="1" applyAlignment="1">
      <alignment horizontal="center" shrinkToFit="1"/>
    </xf>
    <xf numFmtId="0" fontId="5" fillId="2" borderId="9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center" shrinkToFit="1"/>
    </xf>
    <xf numFmtId="0" fontId="6" fillId="2" borderId="7" xfId="0" applyFont="1" applyFill="1" applyBorder="1" applyAlignment="1">
      <alignment horizontal="center" shrinkToFit="1"/>
    </xf>
    <xf numFmtId="0" fontId="6" fillId="2" borderId="8" xfId="0" applyFont="1" applyFill="1" applyBorder="1" applyAlignment="1">
      <alignment horizontal="center" shrinkToFit="1"/>
    </xf>
    <xf numFmtId="0" fontId="7" fillId="2" borderId="6" xfId="0" applyFont="1" applyFill="1" applyBorder="1" applyAlignment="1">
      <alignment horizontal="center" shrinkToFit="1"/>
    </xf>
    <xf numFmtId="0" fontId="7" fillId="2" borderId="7" xfId="0" applyFont="1" applyFill="1" applyBorder="1" applyAlignment="1">
      <alignment horizontal="center" shrinkToFit="1"/>
    </xf>
    <xf numFmtId="0" fontId="7" fillId="2" borderId="8" xfId="0" applyFont="1" applyFill="1" applyBorder="1" applyAlignment="1">
      <alignment horizontal="center" shrinkToFit="1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6" xfId="0" applyNumberFormat="1" applyFont="1" applyFill="1" applyBorder="1" applyAlignment="1">
      <alignment horizontal="center"/>
    </xf>
    <xf numFmtId="49" fontId="4" fillId="2" borderId="7" xfId="0" applyNumberFormat="1" applyFont="1" applyFill="1" applyBorder="1" applyAlignment="1">
      <alignment horizontal="center"/>
    </xf>
    <xf numFmtId="49" fontId="4" fillId="2" borderId="8" xfId="0" applyNumberFormat="1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 textRotation="90"/>
    </xf>
    <xf numFmtId="0" fontId="5" fillId="2" borderId="3" xfId="0" applyFont="1" applyFill="1" applyBorder="1" applyAlignment="1">
      <alignment horizontal="center" vertical="center" textRotation="90"/>
    </xf>
    <xf numFmtId="0" fontId="5" fillId="2" borderId="6" xfId="0" applyFont="1" applyFill="1" applyBorder="1" applyAlignment="1">
      <alignment horizontal="center" vertical="center" textRotation="90"/>
    </xf>
    <xf numFmtId="0" fontId="5" fillId="2" borderId="8" xfId="0" applyFont="1" applyFill="1" applyBorder="1" applyAlignment="1">
      <alignment horizontal="center" vertical="center" textRotation="90"/>
    </xf>
    <xf numFmtId="0" fontId="4" fillId="2" borderId="4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2" borderId="5" xfId="0" applyFont="1" applyFill="1" applyBorder="1" applyAlignment="1">
      <alignment horizontal="left"/>
    </xf>
    <xf numFmtId="49" fontId="4" fillId="2" borderId="4" xfId="0" applyNumberFormat="1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2" borderId="7" xfId="0" applyNumberFormat="1" applyFont="1" applyFill="1" applyBorder="1" applyAlignment="1">
      <alignment horizontal="center"/>
    </xf>
    <xf numFmtId="0" fontId="4" fillId="2" borderId="8" xfId="0" applyNumberFormat="1" applyFont="1" applyFill="1" applyBorder="1" applyAlignment="1">
      <alignment horizontal="center"/>
    </xf>
    <xf numFmtId="0" fontId="4" fillId="2" borderId="6" xfId="0" applyFont="1" applyFill="1" applyBorder="1" applyAlignment="1">
      <alignment horizontal="left"/>
    </xf>
    <xf numFmtId="0" fontId="4" fillId="2" borderId="7" xfId="0" applyFont="1" applyFill="1" applyBorder="1" applyAlignment="1">
      <alignment horizontal="left"/>
    </xf>
    <xf numFmtId="0" fontId="4" fillId="2" borderId="8" xfId="0" applyFont="1" applyFill="1" applyBorder="1" applyAlignment="1">
      <alignment horizontal="left"/>
    </xf>
    <xf numFmtId="4" fontId="4" fillId="2" borderId="6" xfId="0" applyNumberFormat="1" applyFont="1" applyFill="1" applyBorder="1" applyAlignment="1">
      <alignment horizontal="center"/>
    </xf>
    <xf numFmtId="49" fontId="1" fillId="2" borderId="0" xfId="0" applyNumberFormat="1" applyFont="1" applyFill="1" applyAlignment="1">
      <alignment horizontal="center" vertical="center"/>
    </xf>
    <xf numFmtId="0" fontId="4" fillId="2" borderId="6" xfId="0" applyFont="1" applyFill="1" applyBorder="1" applyAlignment="1" applyProtection="1">
      <alignment horizontal="left"/>
    </xf>
    <xf numFmtId="0" fontId="4" fillId="2" borderId="7" xfId="0" applyFont="1" applyFill="1" applyBorder="1" applyAlignment="1" applyProtection="1">
      <alignment horizontal="left"/>
    </xf>
    <xf numFmtId="0" fontId="4" fillId="2" borderId="8" xfId="0" applyFont="1" applyFill="1" applyBorder="1" applyAlignment="1" applyProtection="1">
      <alignment horizontal="left"/>
    </xf>
    <xf numFmtId="2" fontId="4" fillId="2" borderId="6" xfId="0" applyNumberFormat="1" applyFont="1" applyFill="1" applyBorder="1" applyAlignment="1" applyProtection="1">
      <alignment horizontal="center" shrinkToFit="1"/>
    </xf>
    <xf numFmtId="0" fontId="4" fillId="2" borderId="7" xfId="0" applyNumberFormat="1" applyFont="1" applyFill="1" applyBorder="1" applyAlignment="1" applyProtection="1">
      <alignment horizontal="center" shrinkToFit="1"/>
    </xf>
    <xf numFmtId="0" fontId="4" fillId="2" borderId="8" xfId="0" applyNumberFormat="1" applyFont="1" applyFill="1" applyBorder="1" applyAlignment="1" applyProtection="1">
      <alignment horizontal="center" shrinkToFit="1"/>
    </xf>
    <xf numFmtId="0" fontId="4" fillId="2" borderId="6" xfId="0" applyFont="1" applyFill="1" applyBorder="1" applyAlignment="1" applyProtection="1">
      <alignment horizontal="left" shrinkToFit="1"/>
    </xf>
    <xf numFmtId="0" fontId="2" fillId="2" borderId="7" xfId="0" applyFont="1" applyFill="1" applyBorder="1" applyAlignment="1" applyProtection="1">
      <alignment shrinkToFit="1"/>
    </xf>
    <xf numFmtId="0" fontId="4" fillId="2" borderId="6" xfId="0" applyFont="1" applyFill="1" applyBorder="1" applyAlignment="1" applyProtection="1">
      <alignment horizontal="center"/>
    </xf>
    <xf numFmtId="0" fontId="4" fillId="2" borderId="7" xfId="0" applyFont="1" applyFill="1" applyBorder="1" applyAlignment="1" applyProtection="1">
      <alignment horizontal="center"/>
    </xf>
    <xf numFmtId="0" fontId="4" fillId="2" borderId="8" xfId="0" applyFont="1" applyFill="1" applyBorder="1" applyAlignment="1" applyProtection="1">
      <alignment horizontal="center"/>
    </xf>
    <xf numFmtId="186" fontId="2" fillId="2" borderId="0" xfId="0" applyNumberFormat="1" applyFont="1" applyFill="1"/>
    <xf numFmtId="0" fontId="4" fillId="2" borderId="6" xfId="0" applyNumberFormat="1" applyFont="1" applyFill="1" applyBorder="1" applyAlignment="1">
      <alignment horizontal="center"/>
    </xf>
    <xf numFmtId="188" fontId="8" fillId="2" borderId="9" xfId="0" applyNumberFormat="1" applyFont="1" applyFill="1" applyBorder="1" applyAlignment="1">
      <alignment horizontal="center"/>
    </xf>
    <xf numFmtId="188" fontId="8" fillId="2" borderId="10" xfId="0" applyNumberFormat="1" applyFont="1" applyFill="1" applyBorder="1" applyAlignment="1">
      <alignment horizontal="center"/>
    </xf>
    <xf numFmtId="188" fontId="8" fillId="2" borderId="11" xfId="0" applyNumberFormat="1" applyFont="1" applyFill="1" applyBorder="1" applyAlignment="1">
      <alignment horizontal="center"/>
    </xf>
    <xf numFmtId="1" fontId="2" fillId="2" borderId="0" xfId="0" applyNumberFormat="1" applyFont="1" applyFill="1" applyAlignment="1" applyProtection="1">
      <alignment horizontal="center" wrapText="1"/>
    </xf>
    <xf numFmtId="0" fontId="2" fillId="2" borderId="0" xfId="0" applyFont="1" applyFill="1" applyAlignment="1" applyProtection="1">
      <alignment horizontal="center" wrapText="1"/>
    </xf>
    <xf numFmtId="182" fontId="8" fillId="2" borderId="0" xfId="0" applyNumberFormat="1" applyFont="1" applyFill="1" applyBorder="1" applyAlignment="1">
      <alignment horizontal="center"/>
    </xf>
    <xf numFmtId="182" fontId="8" fillId="2" borderId="0" xfId="0" applyNumberFormat="1" applyFont="1" applyFill="1" applyBorder="1" applyAlignment="1"/>
    <xf numFmtId="0" fontId="10" fillId="2" borderId="9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11" fillId="2" borderId="9" xfId="0" applyFont="1" applyFill="1" applyBorder="1" applyAlignment="1">
      <alignment horizontal="center"/>
    </xf>
    <xf numFmtId="0" fontId="11" fillId="2" borderId="10" xfId="0" applyFont="1" applyFill="1" applyBorder="1" applyAlignment="1">
      <alignment horizontal="center"/>
    </xf>
    <xf numFmtId="0" fontId="11" fillId="2" borderId="11" xfId="0" applyFont="1" applyFill="1" applyBorder="1" applyAlignment="1">
      <alignment horizontal="center"/>
    </xf>
    <xf numFmtId="0" fontId="12" fillId="2" borderId="9" xfId="0" applyFont="1" applyFill="1" applyBorder="1" applyAlignment="1">
      <alignment horizontal="center"/>
    </xf>
    <xf numFmtId="0" fontId="12" fillId="2" borderId="10" xfId="0" applyFont="1" applyFill="1" applyBorder="1" applyAlignment="1">
      <alignment horizontal="center"/>
    </xf>
    <xf numFmtId="0" fontId="12" fillId="2" borderId="1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38100</xdr:colOff>
      <xdr:row>1</xdr:row>
      <xdr:rowOff>38100</xdr:rowOff>
    </xdr:from>
    <xdr:to>
      <xdr:col>51</xdr:col>
      <xdr:colOff>47625</xdr:colOff>
      <xdr:row>1</xdr:row>
      <xdr:rowOff>228600</xdr:rowOff>
    </xdr:to>
    <xdr:sp macro="[0]!pon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4E75858-3DEE-4664-BDA7-2D23747DF5BE}"/>
            </a:ext>
          </a:extLst>
        </xdr:cNvPr>
        <xdr:cNvSpPr/>
      </xdr:nvSpPr>
      <xdr:spPr>
        <a:xfrm>
          <a:off x="6610350" y="85725"/>
          <a:ext cx="238125" cy="1905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fitToPage="1"/>
  </sheetPr>
  <dimension ref="A1:DK57"/>
  <sheetViews>
    <sheetView tabSelected="1" workbookViewId="0">
      <selection activeCell="BS13" sqref="BS13"/>
    </sheetView>
  </sheetViews>
  <sheetFormatPr defaultColWidth="1.7109375" defaultRowHeight="12.75" x14ac:dyDescent="0.2"/>
  <cols>
    <col min="1" max="23" width="1.7109375" style="3"/>
    <col min="24" max="24" width="3.7109375" style="3" customWidth="1"/>
    <col min="25" max="25" width="2.85546875" style="3" customWidth="1"/>
    <col min="26" max="26" width="11.28515625" style="3" customWidth="1"/>
    <col min="27" max="27" width="1.7109375" style="3"/>
    <col min="28" max="28" width="1.7109375" style="3" customWidth="1"/>
    <col min="29" max="32" width="1.7109375" style="3"/>
    <col min="33" max="33" width="1.7109375" style="3" customWidth="1"/>
    <col min="34" max="37" width="1.7109375" style="3"/>
    <col min="38" max="38" width="3.5703125" style="3" customWidth="1"/>
    <col min="39" max="77" width="1.7109375" style="3"/>
    <col min="78" max="78" width="27.42578125" style="3" bestFit="1" customWidth="1"/>
    <col min="79" max="16384" width="1.7109375" style="3"/>
  </cols>
  <sheetData>
    <row r="1" spans="1:115" ht="3.95" customHeight="1" x14ac:dyDescent="0.2">
      <c r="AB1" s="3">
        <v>0.25</v>
      </c>
    </row>
    <row r="2" spans="1:115" ht="24.75" x14ac:dyDescent="0.2">
      <c r="B2" s="108" t="s">
        <v>0</v>
      </c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</row>
    <row r="3" spans="1:115" ht="6" customHeight="1" x14ac:dyDescent="0.2">
      <c r="AB3" s="3">
        <v>0.25</v>
      </c>
    </row>
    <row r="4" spans="1:115" s="1" customFormat="1" ht="9.9499999999999993" customHeight="1" x14ac:dyDescent="0.2">
      <c r="B4" s="4" t="s">
        <v>1</v>
      </c>
      <c r="C4" s="5"/>
      <c r="D4" s="5"/>
      <c r="E4" s="5"/>
      <c r="F4" s="5"/>
      <c r="G4" s="5"/>
      <c r="H4" s="5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>
        <v>0.25</v>
      </c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5"/>
      <c r="AQ4" s="5"/>
      <c r="AR4" s="5"/>
      <c r="AS4" s="4" t="s">
        <v>2</v>
      </c>
      <c r="AT4" s="5"/>
      <c r="AU4" s="5"/>
      <c r="AV4" s="6"/>
      <c r="AW4" s="6"/>
      <c r="AX4" s="6"/>
      <c r="AY4" s="6"/>
      <c r="AZ4" s="6"/>
      <c r="BA4" s="6"/>
      <c r="BB4" s="6"/>
      <c r="BC4" s="6"/>
      <c r="BD4" s="7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</row>
    <row r="5" spans="1:115" s="1" customFormat="1" ht="12.95" customHeight="1" x14ac:dyDescent="0.2">
      <c r="A5" s="2"/>
      <c r="B5" s="109" t="s">
        <v>52</v>
      </c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1"/>
      <c r="AS5" s="112" t="s">
        <v>62</v>
      </c>
      <c r="AT5" s="113"/>
      <c r="AU5" s="113"/>
      <c r="AV5" s="113"/>
      <c r="AW5" s="113"/>
      <c r="AX5" s="113"/>
      <c r="AY5" s="113"/>
      <c r="AZ5" s="113"/>
      <c r="BA5" s="113"/>
      <c r="BB5" s="113"/>
      <c r="BC5" s="113"/>
      <c r="BD5" s="114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</row>
    <row r="6" spans="1:115" s="1" customFormat="1" ht="9.9499999999999993" customHeight="1" x14ac:dyDescent="0.2">
      <c r="A6" s="2"/>
      <c r="B6" s="4" t="s">
        <v>46</v>
      </c>
      <c r="C6" s="9"/>
      <c r="D6" s="9"/>
      <c r="E6" s="9"/>
      <c r="F6" s="9"/>
      <c r="G6" s="9"/>
      <c r="H6" s="9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4" t="s">
        <v>3</v>
      </c>
      <c r="Z6" s="10"/>
      <c r="AA6" s="10"/>
      <c r="AB6" s="10"/>
      <c r="AC6" s="11"/>
      <c r="AD6" s="4" t="s">
        <v>47</v>
      </c>
      <c r="AE6" s="10"/>
      <c r="AF6" s="10"/>
      <c r="AG6" s="10"/>
      <c r="AH6" s="10"/>
      <c r="AI6" s="10"/>
      <c r="AJ6" s="10"/>
      <c r="AK6" s="10"/>
      <c r="AL6" s="10"/>
      <c r="AM6" s="10"/>
      <c r="AN6" s="12"/>
      <c r="AO6" s="4" t="s">
        <v>48</v>
      </c>
      <c r="AP6" s="9"/>
      <c r="AQ6" s="9"/>
      <c r="AR6" s="9"/>
      <c r="AS6" s="9"/>
      <c r="AT6" s="13"/>
      <c r="AU6" s="13"/>
      <c r="AV6" s="13"/>
      <c r="AW6" s="13"/>
      <c r="AX6" s="13"/>
      <c r="AY6" s="13"/>
      <c r="AZ6" s="13"/>
      <c r="BA6" s="14"/>
      <c r="BB6" s="4" t="s">
        <v>49</v>
      </c>
      <c r="BC6" s="13"/>
      <c r="BD6" s="15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125">
        <f ca="1">DAY(TODAY())</f>
        <v>22</v>
      </c>
      <c r="CA6" s="126"/>
      <c r="CB6" s="126"/>
      <c r="CC6" s="126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</row>
    <row r="7" spans="1:115" s="1" customFormat="1" ht="12.95" customHeight="1" x14ac:dyDescent="0.2">
      <c r="A7" s="2"/>
      <c r="B7" s="115" t="s">
        <v>61</v>
      </c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7">
        <v>2235</v>
      </c>
      <c r="Z7" s="118"/>
      <c r="AA7" s="118"/>
      <c r="AB7" s="118"/>
      <c r="AC7" s="119"/>
      <c r="AD7" s="117" t="s">
        <v>58</v>
      </c>
      <c r="AE7" s="118"/>
      <c r="AF7" s="118"/>
      <c r="AG7" s="118"/>
      <c r="AH7" s="118"/>
      <c r="AI7" s="118"/>
      <c r="AJ7" s="118"/>
      <c r="AK7" s="118"/>
      <c r="AL7" s="118"/>
      <c r="AM7" s="118"/>
      <c r="AN7" s="119"/>
      <c r="AO7" s="117" t="s">
        <v>59</v>
      </c>
      <c r="AP7" s="118"/>
      <c r="AQ7" s="118"/>
      <c r="AR7" s="118"/>
      <c r="AS7" s="118"/>
      <c r="AT7" s="118"/>
      <c r="AU7" s="118"/>
      <c r="AV7" s="118"/>
      <c r="AW7" s="118"/>
      <c r="AX7" s="118"/>
      <c r="AY7" s="118"/>
      <c r="AZ7" s="118"/>
      <c r="BA7" s="118"/>
      <c r="BB7" s="117" t="s">
        <v>60</v>
      </c>
      <c r="BC7" s="118"/>
      <c r="BD7" s="119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127">
        <v>0.25</v>
      </c>
      <c r="CA7" s="128"/>
      <c r="CB7" s="128"/>
      <c r="CC7" s="12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</row>
    <row r="8" spans="1:115" s="16" customFormat="1" ht="9" x14ac:dyDescent="0.15">
      <c r="B8" s="17" t="s">
        <v>5</v>
      </c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>
        <v>0.25</v>
      </c>
      <c r="AC8" s="18"/>
      <c r="AD8" s="18"/>
      <c r="AE8" s="18"/>
      <c r="AF8" s="17" t="s">
        <v>6</v>
      </c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9"/>
      <c r="AS8" s="18" t="s">
        <v>7</v>
      </c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9"/>
    </row>
    <row r="9" spans="1:115" s="20" customFormat="1" ht="12.95" customHeight="1" x14ac:dyDescent="0.2">
      <c r="B9" s="97" t="s">
        <v>53</v>
      </c>
      <c r="C9" s="98"/>
      <c r="D9" s="98"/>
      <c r="E9" s="98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9"/>
      <c r="AF9" s="100" t="s">
        <v>6</v>
      </c>
      <c r="AG9" s="101"/>
      <c r="AH9" s="101"/>
      <c r="AI9" s="88"/>
      <c r="AJ9" s="88"/>
      <c r="AK9" s="88"/>
      <c r="AL9" s="88"/>
      <c r="AM9" s="88"/>
      <c r="AN9" s="88"/>
      <c r="AO9" s="88"/>
      <c r="AP9" s="88"/>
      <c r="AQ9" s="88"/>
      <c r="AR9" s="89"/>
      <c r="AS9" s="90" t="s">
        <v>56</v>
      </c>
      <c r="AT9" s="102"/>
      <c r="AU9" s="102"/>
      <c r="AV9" s="102"/>
      <c r="AW9" s="102"/>
      <c r="AX9" s="102"/>
      <c r="AY9" s="102"/>
      <c r="AZ9" s="102"/>
      <c r="BA9" s="102"/>
      <c r="BB9" s="102"/>
      <c r="BC9" s="102"/>
      <c r="BD9" s="103"/>
    </row>
    <row r="10" spans="1:115" s="16" customFormat="1" ht="9" x14ac:dyDescent="0.15">
      <c r="B10" s="17" t="s">
        <v>8</v>
      </c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7" t="s">
        <v>9</v>
      </c>
      <c r="AA10" s="18"/>
      <c r="AB10" s="18">
        <v>0.25</v>
      </c>
      <c r="AC10" s="18"/>
      <c r="AD10" s="18"/>
      <c r="AE10" s="18"/>
      <c r="AF10" s="18"/>
      <c r="AG10" s="18"/>
      <c r="AH10" s="19"/>
      <c r="AI10" s="18" t="s">
        <v>10</v>
      </c>
      <c r="AJ10" s="18"/>
      <c r="AK10" s="18"/>
      <c r="AL10" s="18"/>
      <c r="AM10" s="18"/>
      <c r="AN10" s="18"/>
      <c r="AO10" s="18"/>
      <c r="AP10" s="18"/>
      <c r="AQ10" s="18"/>
      <c r="AR10" s="19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9"/>
    </row>
    <row r="11" spans="1:115" s="20" customFormat="1" ht="12.95" customHeight="1" x14ac:dyDescent="0.2">
      <c r="B11" s="104" t="s">
        <v>54</v>
      </c>
      <c r="C11" s="105"/>
      <c r="D11" s="105"/>
      <c r="E11" s="105"/>
      <c r="F11" s="105"/>
      <c r="G11" s="105"/>
      <c r="H11" s="105"/>
      <c r="I11" s="105"/>
      <c r="J11" s="105"/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  <c r="X11" s="105"/>
      <c r="Y11" s="106"/>
      <c r="Z11" s="107">
        <v>2165</v>
      </c>
      <c r="AA11" s="88"/>
      <c r="AB11" s="88"/>
      <c r="AC11" s="88"/>
      <c r="AD11" s="88"/>
      <c r="AE11" s="88"/>
      <c r="AF11" s="88"/>
      <c r="AG11" s="88"/>
      <c r="AH11" s="89"/>
      <c r="AI11" s="88" t="s">
        <v>55</v>
      </c>
      <c r="AJ11" s="88"/>
      <c r="AK11" s="88"/>
      <c r="AL11" s="88"/>
      <c r="AM11" s="88"/>
      <c r="AN11" s="88"/>
      <c r="AO11" s="88"/>
      <c r="AP11" s="88"/>
      <c r="AQ11" s="88"/>
      <c r="AR11" s="88"/>
      <c r="AS11" s="88"/>
      <c r="AT11" s="88"/>
      <c r="AU11" s="88"/>
      <c r="AV11" s="88"/>
      <c r="AW11" s="88"/>
      <c r="AX11" s="88"/>
      <c r="AY11" s="88"/>
      <c r="AZ11" s="88"/>
      <c r="BA11" s="88"/>
      <c r="BB11" s="88"/>
      <c r="BC11" s="88"/>
      <c r="BD11" s="89"/>
      <c r="BZ11" s="120"/>
    </row>
    <row r="12" spans="1:115" s="16" customFormat="1" ht="9" x14ac:dyDescent="0.15">
      <c r="B12" s="21" t="s">
        <v>11</v>
      </c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3"/>
      <c r="Z12" s="21" t="s">
        <v>12</v>
      </c>
      <c r="AA12" s="22"/>
      <c r="AB12" s="22">
        <v>0.25</v>
      </c>
      <c r="AC12" s="22"/>
      <c r="AD12" s="22"/>
      <c r="AE12" s="22"/>
      <c r="AF12" s="22"/>
      <c r="AG12" s="22"/>
      <c r="AH12" s="22"/>
      <c r="AI12" s="18"/>
      <c r="AJ12" s="19"/>
      <c r="AK12" s="17" t="s">
        <v>13</v>
      </c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9"/>
      <c r="AW12" s="18" t="s">
        <v>14</v>
      </c>
      <c r="AX12" s="18"/>
      <c r="AY12" s="18"/>
      <c r="AZ12" s="18"/>
      <c r="BA12" s="18"/>
      <c r="BB12" s="18"/>
      <c r="BC12" s="18"/>
      <c r="BD12" s="19"/>
    </row>
    <row r="13" spans="1:115" s="20" customFormat="1" ht="12.95" customHeight="1" x14ac:dyDescent="0.2">
      <c r="B13" s="87" t="s">
        <v>4</v>
      </c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9"/>
      <c r="Z13" s="87" t="s">
        <v>51</v>
      </c>
      <c r="AA13" s="88"/>
      <c r="AB13" s="88"/>
      <c r="AC13" s="88"/>
      <c r="AD13" s="88"/>
      <c r="AE13" s="88"/>
      <c r="AF13" s="88"/>
      <c r="AG13" s="88"/>
      <c r="AH13" s="88"/>
      <c r="AI13" s="88"/>
      <c r="AJ13" s="89"/>
      <c r="AK13" s="87" t="s">
        <v>57</v>
      </c>
      <c r="AL13" s="88"/>
      <c r="AM13" s="88"/>
      <c r="AN13" s="88"/>
      <c r="AO13" s="88"/>
      <c r="AP13" s="88"/>
      <c r="AQ13" s="88"/>
      <c r="AR13" s="88"/>
      <c r="AS13" s="88"/>
      <c r="AT13" s="88"/>
      <c r="AU13" s="88"/>
      <c r="AV13" s="89"/>
      <c r="AW13" s="121">
        <v>2022</v>
      </c>
      <c r="AX13" s="91"/>
      <c r="AY13" s="91"/>
      <c r="AZ13" s="91"/>
      <c r="BA13" s="91"/>
      <c r="BB13" s="91"/>
      <c r="BC13" s="91"/>
      <c r="BD13" s="92"/>
    </row>
    <row r="14" spans="1:115" ht="6" customHeight="1" x14ac:dyDescent="0.2">
      <c r="AB14" s="3">
        <v>0.25</v>
      </c>
    </row>
    <row r="15" spans="1:115" ht="12.6" customHeight="1" x14ac:dyDescent="0.2">
      <c r="B15" s="93" t="s">
        <v>15</v>
      </c>
      <c r="C15" s="94"/>
      <c r="D15" s="78" t="s">
        <v>16</v>
      </c>
      <c r="E15" s="79"/>
      <c r="F15" s="79"/>
      <c r="G15" s="79"/>
      <c r="H15" s="80"/>
      <c r="I15" s="75" t="s">
        <v>17</v>
      </c>
      <c r="J15" s="76"/>
      <c r="K15" s="76"/>
      <c r="L15" s="76"/>
      <c r="M15" s="76"/>
      <c r="N15" s="76"/>
      <c r="O15" s="76"/>
      <c r="P15" s="76"/>
      <c r="Q15" s="76"/>
      <c r="R15" s="77"/>
      <c r="S15" s="78" t="s">
        <v>18</v>
      </c>
      <c r="T15" s="79"/>
      <c r="U15" s="79"/>
      <c r="V15" s="79"/>
      <c r="W15" s="80"/>
      <c r="X15" s="72" t="s">
        <v>19</v>
      </c>
      <c r="Y15" s="73"/>
      <c r="Z15" s="73"/>
      <c r="AA15" s="74"/>
      <c r="AB15" s="75" t="s">
        <v>20</v>
      </c>
      <c r="AC15" s="76"/>
      <c r="AD15" s="76"/>
      <c r="AE15" s="76"/>
      <c r="AF15" s="76"/>
      <c r="AG15" s="76"/>
      <c r="AH15" s="76"/>
      <c r="AI15" s="76"/>
      <c r="AJ15" s="76"/>
      <c r="AK15" s="77"/>
      <c r="AL15" s="72" t="s">
        <v>19</v>
      </c>
      <c r="AM15" s="73"/>
      <c r="AN15" s="73"/>
      <c r="AO15" s="74"/>
      <c r="AP15" s="78" t="s">
        <v>21</v>
      </c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  <c r="BD15" s="80"/>
    </row>
    <row r="16" spans="1:115" ht="12.6" customHeight="1" x14ac:dyDescent="0.2">
      <c r="B16" s="95"/>
      <c r="C16" s="96"/>
      <c r="D16" s="68" t="s">
        <v>22</v>
      </c>
      <c r="E16" s="69"/>
      <c r="F16" s="69"/>
      <c r="G16" s="69"/>
      <c r="H16" s="70"/>
      <c r="I16" s="71" t="s">
        <v>18</v>
      </c>
      <c r="J16" s="71"/>
      <c r="K16" s="71"/>
      <c r="L16" s="71"/>
      <c r="M16" s="71"/>
      <c r="N16" s="71" t="s">
        <v>23</v>
      </c>
      <c r="O16" s="71"/>
      <c r="P16" s="71"/>
      <c r="Q16" s="71"/>
      <c r="R16" s="71"/>
      <c r="S16" s="68" t="s">
        <v>24</v>
      </c>
      <c r="T16" s="69"/>
      <c r="U16" s="69"/>
      <c r="V16" s="69"/>
      <c r="W16" s="70"/>
      <c r="X16" s="81" t="s">
        <v>25</v>
      </c>
      <c r="Y16" s="82"/>
      <c r="Z16" s="82"/>
      <c r="AA16" s="83"/>
      <c r="AB16" s="75" t="s">
        <v>16</v>
      </c>
      <c r="AC16" s="76"/>
      <c r="AD16" s="76"/>
      <c r="AE16" s="76"/>
      <c r="AF16" s="77"/>
      <c r="AG16" s="75" t="s">
        <v>18</v>
      </c>
      <c r="AH16" s="76"/>
      <c r="AI16" s="76"/>
      <c r="AJ16" s="76"/>
      <c r="AK16" s="77"/>
      <c r="AL16" s="84" t="s">
        <v>20</v>
      </c>
      <c r="AM16" s="85"/>
      <c r="AN16" s="85"/>
      <c r="AO16" s="86"/>
      <c r="AP16" s="68" t="s">
        <v>26</v>
      </c>
      <c r="AQ16" s="69"/>
      <c r="AR16" s="69"/>
      <c r="AS16" s="69"/>
      <c r="AT16" s="69"/>
      <c r="AU16" s="69"/>
      <c r="AV16" s="69"/>
      <c r="AW16" s="69"/>
      <c r="AX16" s="69"/>
      <c r="AY16" s="69"/>
      <c r="AZ16" s="69"/>
      <c r="BA16" s="69"/>
      <c r="BB16" s="69"/>
      <c r="BC16" s="69"/>
      <c r="BD16" s="70"/>
    </row>
    <row r="17" spans="2:56" ht="13.5" customHeight="1" x14ac:dyDescent="0.2">
      <c r="B17" s="63">
        <v>2</v>
      </c>
      <c r="C17" s="63"/>
      <c r="D17" s="65">
        <v>0.3527777777777778</v>
      </c>
      <c r="E17" s="66"/>
      <c r="F17" s="66"/>
      <c r="G17" s="66"/>
      <c r="H17" s="67"/>
      <c r="I17" s="64">
        <v>0.5</v>
      </c>
      <c r="J17" s="64"/>
      <c r="K17" s="64"/>
      <c r="L17" s="64"/>
      <c r="M17" s="64"/>
      <c r="N17" s="64">
        <v>0.54166666666666663</v>
      </c>
      <c r="O17" s="64"/>
      <c r="P17" s="64"/>
      <c r="Q17" s="64"/>
      <c r="R17" s="64"/>
      <c r="S17" s="64">
        <v>0.65902777777777777</v>
      </c>
      <c r="T17" s="64"/>
      <c r="U17" s="64"/>
      <c r="V17" s="64"/>
      <c r="W17" s="64"/>
      <c r="X17" s="65">
        <v>0.26458333333333334</v>
      </c>
      <c r="Y17" s="66"/>
      <c r="Z17" s="66"/>
      <c r="AA17" s="67"/>
      <c r="AB17" s="65">
        <v>0.64444444444444438</v>
      </c>
      <c r="AC17" s="66"/>
      <c r="AD17" s="66"/>
      <c r="AE17" s="66"/>
      <c r="AF17" s="67"/>
      <c r="AG17" s="65">
        <v>0.65902777777777777</v>
      </c>
      <c r="AH17" s="66"/>
      <c r="AI17" s="66"/>
      <c r="AJ17" s="66"/>
      <c r="AK17" s="67"/>
      <c r="AL17" s="65">
        <v>1.4583333333333393E-2</v>
      </c>
      <c r="AM17" s="66"/>
      <c r="AN17" s="66"/>
      <c r="AO17" s="67"/>
      <c r="AP17" s="129" t="s">
        <v>63</v>
      </c>
      <c r="AQ17" s="130"/>
      <c r="AR17" s="130"/>
      <c r="AS17" s="130"/>
      <c r="AT17" s="130"/>
      <c r="AU17" s="130"/>
      <c r="AV17" s="130"/>
      <c r="AW17" s="130"/>
      <c r="AX17" s="130"/>
      <c r="AY17" s="130"/>
      <c r="AZ17" s="130"/>
      <c r="BA17" s="130"/>
      <c r="BB17" s="130"/>
      <c r="BC17" s="130"/>
      <c r="BD17" s="131"/>
    </row>
    <row r="18" spans="2:56" ht="13.5" customHeight="1" x14ac:dyDescent="0.2">
      <c r="B18" s="63">
        <v>3</v>
      </c>
      <c r="C18" s="63"/>
      <c r="D18" s="65">
        <v>0.47083333333333338</v>
      </c>
      <c r="E18" s="66"/>
      <c r="F18" s="66"/>
      <c r="G18" s="66"/>
      <c r="H18" s="67"/>
      <c r="I18" s="64">
        <v>0.5</v>
      </c>
      <c r="J18" s="64"/>
      <c r="K18" s="64"/>
      <c r="L18" s="64"/>
      <c r="M18" s="64"/>
      <c r="N18" s="64">
        <v>0.54166666666666696</v>
      </c>
      <c r="O18" s="64"/>
      <c r="P18" s="64"/>
      <c r="Q18" s="64"/>
      <c r="R18" s="64"/>
      <c r="S18" s="64">
        <v>0.77430555555555547</v>
      </c>
      <c r="T18" s="64"/>
      <c r="U18" s="64"/>
      <c r="V18" s="64"/>
      <c r="W18" s="64"/>
      <c r="X18" s="65">
        <v>0.26180555555555557</v>
      </c>
      <c r="Y18" s="66"/>
      <c r="Z18" s="66"/>
      <c r="AA18" s="67"/>
      <c r="AB18" s="65">
        <v>0.7625000000000004</v>
      </c>
      <c r="AC18" s="66"/>
      <c r="AD18" s="66"/>
      <c r="AE18" s="66"/>
      <c r="AF18" s="67"/>
      <c r="AG18" s="65">
        <v>0.77430555555555547</v>
      </c>
      <c r="AH18" s="66"/>
      <c r="AI18" s="66"/>
      <c r="AJ18" s="66"/>
      <c r="AK18" s="67"/>
      <c r="AL18" s="65">
        <v>1.180555555555507E-2</v>
      </c>
      <c r="AM18" s="66"/>
      <c r="AN18" s="66"/>
      <c r="AO18" s="67"/>
      <c r="AP18" s="129" t="s">
        <v>63</v>
      </c>
      <c r="AQ18" s="130"/>
      <c r="AR18" s="130"/>
      <c r="AS18" s="130"/>
      <c r="AT18" s="130"/>
      <c r="AU18" s="130"/>
      <c r="AV18" s="130"/>
      <c r="AW18" s="130"/>
      <c r="AX18" s="130"/>
      <c r="AY18" s="130"/>
      <c r="AZ18" s="130"/>
      <c r="BA18" s="130"/>
      <c r="BB18" s="130"/>
      <c r="BC18" s="130"/>
      <c r="BD18" s="131"/>
    </row>
    <row r="19" spans="2:56" ht="13.5" customHeight="1" x14ac:dyDescent="0.2">
      <c r="B19" s="63">
        <v>4</v>
      </c>
      <c r="C19" s="63"/>
      <c r="D19" s="65">
        <v>0.43194444444444446</v>
      </c>
      <c r="E19" s="66"/>
      <c r="F19" s="66"/>
      <c r="G19" s="66"/>
      <c r="H19" s="67"/>
      <c r="I19" s="64">
        <v>0.5</v>
      </c>
      <c r="J19" s="64"/>
      <c r="K19" s="64"/>
      <c r="L19" s="64"/>
      <c r="M19" s="64"/>
      <c r="N19" s="64">
        <v>0.54166666666666696</v>
      </c>
      <c r="O19" s="64"/>
      <c r="P19" s="64"/>
      <c r="Q19" s="64"/>
      <c r="R19" s="64"/>
      <c r="S19" s="64">
        <v>0.76597222222222217</v>
      </c>
      <c r="T19" s="64"/>
      <c r="U19" s="64"/>
      <c r="V19" s="64"/>
      <c r="W19" s="64"/>
      <c r="X19" s="65">
        <v>0.29236111111111113</v>
      </c>
      <c r="Y19" s="66"/>
      <c r="Z19" s="66"/>
      <c r="AA19" s="67"/>
      <c r="AB19" s="65">
        <v>0.72361111111111143</v>
      </c>
      <c r="AC19" s="66"/>
      <c r="AD19" s="66"/>
      <c r="AE19" s="66"/>
      <c r="AF19" s="67"/>
      <c r="AG19" s="65">
        <v>0.76597222222222217</v>
      </c>
      <c r="AH19" s="66"/>
      <c r="AI19" s="66"/>
      <c r="AJ19" s="66"/>
      <c r="AK19" s="67"/>
      <c r="AL19" s="65">
        <v>4.2361111111110739E-2</v>
      </c>
      <c r="AM19" s="66"/>
      <c r="AN19" s="66"/>
      <c r="AO19" s="67"/>
      <c r="AP19" s="129" t="s">
        <v>63</v>
      </c>
      <c r="AQ19" s="130"/>
      <c r="AR19" s="130"/>
      <c r="AS19" s="130"/>
      <c r="AT19" s="130"/>
      <c r="AU19" s="130"/>
      <c r="AV19" s="130"/>
      <c r="AW19" s="130"/>
      <c r="AX19" s="130"/>
      <c r="AY19" s="130"/>
      <c r="AZ19" s="130"/>
      <c r="BA19" s="130"/>
      <c r="BB19" s="130"/>
      <c r="BC19" s="130"/>
      <c r="BD19" s="131"/>
    </row>
    <row r="20" spans="2:56" ht="13.5" customHeight="1" x14ac:dyDescent="0.2">
      <c r="B20" s="63">
        <v>5</v>
      </c>
      <c r="C20" s="63"/>
      <c r="D20" s="65">
        <v>0.3833333333333333</v>
      </c>
      <c r="E20" s="66"/>
      <c r="F20" s="66"/>
      <c r="G20" s="66"/>
      <c r="H20" s="67"/>
      <c r="I20" s="64">
        <v>0.5</v>
      </c>
      <c r="J20" s="64"/>
      <c r="K20" s="64"/>
      <c r="L20" s="64"/>
      <c r="M20" s="64"/>
      <c r="N20" s="64">
        <v>0.54166666666666696</v>
      </c>
      <c r="O20" s="64"/>
      <c r="P20" s="64"/>
      <c r="Q20" s="64"/>
      <c r="R20" s="64"/>
      <c r="S20" s="64">
        <v>0.74583333333333324</v>
      </c>
      <c r="T20" s="64"/>
      <c r="U20" s="64"/>
      <c r="V20" s="64"/>
      <c r="W20" s="64"/>
      <c r="X20" s="65">
        <v>0.32083333333333336</v>
      </c>
      <c r="Y20" s="66"/>
      <c r="Z20" s="66"/>
      <c r="AA20" s="67"/>
      <c r="AB20" s="65">
        <v>0.67500000000000027</v>
      </c>
      <c r="AC20" s="66"/>
      <c r="AD20" s="66"/>
      <c r="AE20" s="66"/>
      <c r="AF20" s="67"/>
      <c r="AG20" s="65">
        <v>0.74583333333333324</v>
      </c>
      <c r="AH20" s="66"/>
      <c r="AI20" s="66"/>
      <c r="AJ20" s="66"/>
      <c r="AK20" s="67"/>
      <c r="AL20" s="65">
        <v>7.0833333333332971E-2</v>
      </c>
      <c r="AM20" s="66"/>
      <c r="AN20" s="66"/>
      <c r="AO20" s="67"/>
      <c r="AP20" s="129" t="s">
        <v>63</v>
      </c>
      <c r="AQ20" s="130"/>
      <c r="AR20" s="130"/>
      <c r="AS20" s="130"/>
      <c r="AT20" s="130"/>
      <c r="AU20" s="130"/>
      <c r="AV20" s="130"/>
      <c r="AW20" s="130"/>
      <c r="AX20" s="130"/>
      <c r="AY20" s="130"/>
      <c r="AZ20" s="130"/>
      <c r="BA20" s="130"/>
      <c r="BB20" s="130"/>
      <c r="BC20" s="130"/>
      <c r="BD20" s="131"/>
    </row>
    <row r="21" spans="2:56" ht="13.5" customHeight="1" x14ac:dyDescent="0.2">
      <c r="B21" s="63">
        <v>6</v>
      </c>
      <c r="C21" s="63"/>
      <c r="D21" s="65">
        <v>0.42152777777777778</v>
      </c>
      <c r="E21" s="66"/>
      <c r="F21" s="66"/>
      <c r="G21" s="66"/>
      <c r="H21" s="67"/>
      <c r="I21" s="64">
        <v>0.5</v>
      </c>
      <c r="J21" s="64"/>
      <c r="K21" s="64"/>
      <c r="L21" s="64"/>
      <c r="M21" s="64"/>
      <c r="N21" s="64">
        <v>0.54166666666666696</v>
      </c>
      <c r="O21" s="64"/>
      <c r="P21" s="64"/>
      <c r="Q21" s="64"/>
      <c r="R21" s="64"/>
      <c r="S21" s="64">
        <v>0.75277777777777777</v>
      </c>
      <c r="T21" s="64"/>
      <c r="U21" s="64"/>
      <c r="V21" s="64"/>
      <c r="W21" s="64"/>
      <c r="X21" s="65">
        <v>0.28958333333333336</v>
      </c>
      <c r="Y21" s="66"/>
      <c r="Z21" s="66"/>
      <c r="AA21" s="67"/>
      <c r="AB21" s="65">
        <v>0.71319444444444469</v>
      </c>
      <c r="AC21" s="66"/>
      <c r="AD21" s="66"/>
      <c r="AE21" s="66"/>
      <c r="AF21" s="67"/>
      <c r="AG21" s="65">
        <v>0.75277777777777777</v>
      </c>
      <c r="AH21" s="66"/>
      <c r="AI21" s="66"/>
      <c r="AJ21" s="66"/>
      <c r="AK21" s="67"/>
      <c r="AL21" s="65">
        <v>3.9583333333333082E-2</v>
      </c>
      <c r="AM21" s="66"/>
      <c r="AN21" s="66"/>
      <c r="AO21" s="67"/>
      <c r="AP21" s="129" t="s">
        <v>63</v>
      </c>
      <c r="AQ21" s="130"/>
      <c r="AR21" s="130"/>
      <c r="AS21" s="130"/>
      <c r="AT21" s="130"/>
      <c r="AU21" s="130"/>
      <c r="AV21" s="130"/>
      <c r="AW21" s="130"/>
      <c r="AX21" s="130"/>
      <c r="AY21" s="130"/>
      <c r="AZ21" s="130"/>
      <c r="BA21" s="130"/>
      <c r="BB21" s="130"/>
      <c r="BC21" s="130"/>
      <c r="BD21" s="131"/>
    </row>
    <row r="22" spans="2:56" ht="13.5" customHeight="1" x14ac:dyDescent="0.2">
      <c r="B22" s="63">
        <v>9</v>
      </c>
      <c r="C22" s="63"/>
      <c r="D22" s="65">
        <v>0.42222222222222222</v>
      </c>
      <c r="E22" s="66"/>
      <c r="F22" s="66"/>
      <c r="G22" s="66"/>
      <c r="H22" s="67"/>
      <c r="I22" s="64">
        <v>0.5</v>
      </c>
      <c r="J22" s="64"/>
      <c r="K22" s="64"/>
      <c r="L22" s="64"/>
      <c r="M22" s="64"/>
      <c r="N22" s="64">
        <v>0.53125</v>
      </c>
      <c r="O22" s="64"/>
      <c r="P22" s="64"/>
      <c r="Q22" s="64"/>
      <c r="R22" s="64"/>
      <c r="S22" s="64">
        <v>0.69513888888888886</v>
      </c>
      <c r="T22" s="64"/>
      <c r="U22" s="64"/>
      <c r="V22" s="64"/>
      <c r="W22" s="64"/>
      <c r="X22" s="65">
        <v>0.24166666666666667</v>
      </c>
      <c r="Y22" s="66"/>
      <c r="Z22" s="66"/>
      <c r="AA22" s="67"/>
      <c r="AB22" s="65"/>
      <c r="AC22" s="66"/>
      <c r="AD22" s="66"/>
      <c r="AE22" s="66"/>
      <c r="AF22" s="67"/>
      <c r="AG22" s="65"/>
      <c r="AH22" s="66"/>
      <c r="AI22" s="66"/>
      <c r="AJ22" s="66"/>
      <c r="AK22" s="67"/>
      <c r="AL22" s="65"/>
      <c r="AM22" s="66"/>
      <c r="AN22" s="66"/>
      <c r="AO22" s="67"/>
      <c r="AP22" s="129" t="s">
        <v>63</v>
      </c>
      <c r="AQ22" s="130"/>
      <c r="AR22" s="130"/>
      <c r="AS22" s="130"/>
      <c r="AT22" s="130"/>
      <c r="AU22" s="130"/>
      <c r="AV22" s="130"/>
      <c r="AW22" s="130"/>
      <c r="AX22" s="130"/>
      <c r="AY22" s="130"/>
      <c r="AZ22" s="130"/>
      <c r="BA22" s="130"/>
      <c r="BB22" s="130"/>
      <c r="BC22" s="130"/>
      <c r="BD22" s="131"/>
    </row>
    <row r="23" spans="2:56" ht="13.5" customHeight="1" x14ac:dyDescent="0.2">
      <c r="B23" s="63">
        <v>10</v>
      </c>
      <c r="C23" s="63"/>
      <c r="D23" s="65">
        <v>0.41250000000000003</v>
      </c>
      <c r="E23" s="66"/>
      <c r="F23" s="66"/>
      <c r="G23" s="66"/>
      <c r="H23" s="67"/>
      <c r="I23" s="64">
        <v>0.5</v>
      </c>
      <c r="J23" s="64"/>
      <c r="K23" s="64"/>
      <c r="L23" s="64"/>
      <c r="M23" s="64"/>
      <c r="N23" s="64">
        <v>0.53472222222222221</v>
      </c>
      <c r="O23" s="64"/>
      <c r="P23" s="64"/>
      <c r="Q23" s="64"/>
      <c r="R23" s="64"/>
      <c r="S23" s="64">
        <v>0.70000000000000007</v>
      </c>
      <c r="T23" s="64"/>
      <c r="U23" s="64"/>
      <c r="V23" s="64"/>
      <c r="W23" s="64"/>
      <c r="X23" s="65">
        <v>0.25277777777777777</v>
      </c>
      <c r="Y23" s="66"/>
      <c r="Z23" s="66"/>
      <c r="AA23" s="67"/>
      <c r="AB23" s="65">
        <v>0.69722222222222219</v>
      </c>
      <c r="AC23" s="66"/>
      <c r="AD23" s="66"/>
      <c r="AE23" s="66"/>
      <c r="AF23" s="67"/>
      <c r="AG23" s="65">
        <v>0.70000000000000007</v>
      </c>
      <c r="AH23" s="66"/>
      <c r="AI23" s="66"/>
      <c r="AJ23" s="66"/>
      <c r="AK23" s="67"/>
      <c r="AL23" s="65">
        <v>2.7777777777778789E-3</v>
      </c>
      <c r="AM23" s="66"/>
      <c r="AN23" s="66"/>
      <c r="AO23" s="67"/>
      <c r="AP23" s="129" t="s">
        <v>63</v>
      </c>
      <c r="AQ23" s="130"/>
      <c r="AR23" s="130"/>
      <c r="AS23" s="130"/>
      <c r="AT23" s="130"/>
      <c r="AU23" s="130"/>
      <c r="AV23" s="130"/>
      <c r="AW23" s="130"/>
      <c r="AX23" s="130"/>
      <c r="AY23" s="130"/>
      <c r="AZ23" s="130"/>
      <c r="BA23" s="130"/>
      <c r="BB23" s="130"/>
      <c r="BC23" s="130"/>
      <c r="BD23" s="131"/>
    </row>
    <row r="24" spans="2:56" ht="13.5" customHeight="1" x14ac:dyDescent="0.2">
      <c r="B24" s="63">
        <v>11</v>
      </c>
      <c r="C24" s="63"/>
      <c r="D24" s="65">
        <v>0.36180555555555555</v>
      </c>
      <c r="E24" s="66"/>
      <c r="F24" s="66"/>
      <c r="G24" s="66"/>
      <c r="H24" s="67"/>
      <c r="I24" s="64">
        <v>0.5</v>
      </c>
      <c r="J24" s="64"/>
      <c r="K24" s="64"/>
      <c r="L24" s="64"/>
      <c r="M24" s="64"/>
      <c r="N24" s="64">
        <v>0.54166666666666696</v>
      </c>
      <c r="O24" s="64"/>
      <c r="P24" s="64"/>
      <c r="Q24" s="64"/>
      <c r="R24" s="64"/>
      <c r="S24" s="64">
        <v>0.70000000000000007</v>
      </c>
      <c r="T24" s="64"/>
      <c r="U24" s="64"/>
      <c r="V24" s="64"/>
      <c r="W24" s="64"/>
      <c r="X24" s="65">
        <v>0.29652777777777778</v>
      </c>
      <c r="Y24" s="66"/>
      <c r="Z24" s="66"/>
      <c r="AA24" s="67"/>
      <c r="AB24" s="65">
        <v>0.65347222222222245</v>
      </c>
      <c r="AC24" s="66"/>
      <c r="AD24" s="66"/>
      <c r="AE24" s="66"/>
      <c r="AF24" s="67"/>
      <c r="AG24" s="65">
        <v>0.70000000000000007</v>
      </c>
      <c r="AH24" s="66"/>
      <c r="AI24" s="66"/>
      <c r="AJ24" s="66"/>
      <c r="AK24" s="67"/>
      <c r="AL24" s="65">
        <v>4.6527777777777612E-2</v>
      </c>
      <c r="AM24" s="66"/>
      <c r="AN24" s="66"/>
      <c r="AO24" s="67"/>
      <c r="AP24" s="129" t="s">
        <v>63</v>
      </c>
      <c r="AQ24" s="130"/>
      <c r="AR24" s="130"/>
      <c r="AS24" s="130"/>
      <c r="AT24" s="130"/>
      <c r="AU24" s="130"/>
      <c r="AV24" s="130"/>
      <c r="AW24" s="130"/>
      <c r="AX24" s="130"/>
      <c r="AY24" s="130"/>
      <c r="AZ24" s="130"/>
      <c r="BA24" s="130"/>
      <c r="BB24" s="130"/>
      <c r="BC24" s="130"/>
      <c r="BD24" s="131"/>
    </row>
    <row r="25" spans="2:56" ht="13.5" customHeight="1" x14ac:dyDescent="0.2">
      <c r="B25" s="63">
        <v>12</v>
      </c>
      <c r="C25" s="63"/>
      <c r="D25" s="65">
        <v>0.41319444444444442</v>
      </c>
      <c r="E25" s="66"/>
      <c r="F25" s="66"/>
      <c r="G25" s="66"/>
      <c r="H25" s="67"/>
      <c r="I25" s="64">
        <v>0.5</v>
      </c>
      <c r="J25" s="64"/>
      <c r="K25" s="64"/>
      <c r="L25" s="64"/>
      <c r="M25" s="64"/>
      <c r="N25" s="64">
        <v>0.54166666666666696</v>
      </c>
      <c r="O25" s="64"/>
      <c r="P25" s="64"/>
      <c r="Q25" s="64"/>
      <c r="R25" s="64"/>
      <c r="S25" s="64">
        <v>0.70624999999999993</v>
      </c>
      <c r="T25" s="64"/>
      <c r="U25" s="64"/>
      <c r="V25" s="64"/>
      <c r="W25" s="64"/>
      <c r="X25" s="65">
        <v>0.25138888888888888</v>
      </c>
      <c r="Y25" s="66"/>
      <c r="Z25" s="66"/>
      <c r="AA25" s="67"/>
      <c r="AB25" s="65">
        <v>0.70486111111111138</v>
      </c>
      <c r="AC25" s="66"/>
      <c r="AD25" s="66"/>
      <c r="AE25" s="66"/>
      <c r="AF25" s="67"/>
      <c r="AG25" s="65">
        <v>0.70624999999999993</v>
      </c>
      <c r="AH25" s="66"/>
      <c r="AI25" s="66"/>
      <c r="AJ25" s="66"/>
      <c r="AK25" s="67"/>
      <c r="AL25" s="65">
        <v>1.3888888888885509E-3</v>
      </c>
      <c r="AM25" s="66"/>
      <c r="AN25" s="66"/>
      <c r="AO25" s="67"/>
      <c r="AP25" s="129" t="s">
        <v>63</v>
      </c>
      <c r="AQ25" s="130"/>
      <c r="AR25" s="130"/>
      <c r="AS25" s="130"/>
      <c r="AT25" s="130"/>
      <c r="AU25" s="130"/>
      <c r="AV25" s="130"/>
      <c r="AW25" s="130"/>
      <c r="AX25" s="130"/>
      <c r="AY25" s="130"/>
      <c r="AZ25" s="130"/>
      <c r="BA25" s="130"/>
      <c r="BB25" s="130"/>
      <c r="BC25" s="130"/>
      <c r="BD25" s="131"/>
    </row>
    <row r="26" spans="2:56" ht="13.5" customHeight="1" x14ac:dyDescent="0.2">
      <c r="B26" s="63">
        <v>13</v>
      </c>
      <c r="C26" s="63"/>
      <c r="D26" s="65">
        <v>0.36458333333333331</v>
      </c>
      <c r="E26" s="66"/>
      <c r="F26" s="66"/>
      <c r="G26" s="66"/>
      <c r="H26" s="67"/>
      <c r="I26" s="64">
        <v>0.5</v>
      </c>
      <c r="J26" s="64"/>
      <c r="K26" s="64"/>
      <c r="L26" s="64"/>
      <c r="M26" s="64"/>
      <c r="N26" s="64">
        <v>0.54166666666666696</v>
      </c>
      <c r="O26" s="64"/>
      <c r="P26" s="64"/>
      <c r="Q26" s="64"/>
      <c r="R26" s="64"/>
      <c r="S26" s="64">
        <v>0.6875</v>
      </c>
      <c r="T26" s="64"/>
      <c r="U26" s="64"/>
      <c r="V26" s="64"/>
      <c r="W26" s="64"/>
      <c r="X26" s="65">
        <v>0.28125</v>
      </c>
      <c r="Y26" s="66"/>
      <c r="Z26" s="66"/>
      <c r="AA26" s="67"/>
      <c r="AB26" s="65">
        <v>0.65625000000000022</v>
      </c>
      <c r="AC26" s="66"/>
      <c r="AD26" s="66"/>
      <c r="AE26" s="66"/>
      <c r="AF26" s="67"/>
      <c r="AG26" s="65">
        <v>0.6875</v>
      </c>
      <c r="AH26" s="66"/>
      <c r="AI26" s="66"/>
      <c r="AJ26" s="66"/>
      <c r="AK26" s="67"/>
      <c r="AL26" s="65">
        <v>3.1249999999999778E-2</v>
      </c>
      <c r="AM26" s="66"/>
      <c r="AN26" s="66"/>
      <c r="AO26" s="67"/>
      <c r="AP26" s="129" t="s">
        <v>63</v>
      </c>
      <c r="AQ26" s="130"/>
      <c r="AR26" s="130"/>
      <c r="AS26" s="130"/>
      <c r="AT26" s="130"/>
      <c r="AU26" s="130"/>
      <c r="AV26" s="130"/>
      <c r="AW26" s="130"/>
      <c r="AX26" s="130"/>
      <c r="AY26" s="130"/>
      <c r="AZ26" s="130"/>
      <c r="BA26" s="130"/>
      <c r="BB26" s="130"/>
      <c r="BC26" s="130"/>
      <c r="BD26" s="131"/>
    </row>
    <row r="27" spans="2:56" ht="13.5" customHeight="1" x14ac:dyDescent="0.2">
      <c r="B27" s="63">
        <v>16</v>
      </c>
      <c r="C27" s="63"/>
      <c r="D27" s="65">
        <v>0.36458333333333331</v>
      </c>
      <c r="E27" s="66"/>
      <c r="F27" s="66"/>
      <c r="G27" s="66"/>
      <c r="H27" s="67"/>
      <c r="I27" s="64">
        <v>0.5</v>
      </c>
      <c r="J27" s="64"/>
      <c r="K27" s="64"/>
      <c r="L27" s="64"/>
      <c r="M27" s="64"/>
      <c r="N27" s="64">
        <v>0.54166666666666696</v>
      </c>
      <c r="O27" s="64"/>
      <c r="P27" s="64"/>
      <c r="Q27" s="64"/>
      <c r="R27" s="64"/>
      <c r="S27" s="64">
        <v>0.69374999999999998</v>
      </c>
      <c r="T27" s="64"/>
      <c r="U27" s="64"/>
      <c r="V27" s="64"/>
      <c r="W27" s="64"/>
      <c r="X27" s="65">
        <v>0.28750000000000003</v>
      </c>
      <c r="Y27" s="66"/>
      <c r="Z27" s="66"/>
      <c r="AA27" s="67"/>
      <c r="AB27" s="65">
        <v>0.65625000000000022</v>
      </c>
      <c r="AC27" s="66"/>
      <c r="AD27" s="66"/>
      <c r="AE27" s="66"/>
      <c r="AF27" s="67"/>
      <c r="AG27" s="65">
        <v>0.69374999999999998</v>
      </c>
      <c r="AH27" s="66"/>
      <c r="AI27" s="66"/>
      <c r="AJ27" s="66"/>
      <c r="AK27" s="67"/>
      <c r="AL27" s="65">
        <v>3.7499999999999756E-2</v>
      </c>
      <c r="AM27" s="66"/>
      <c r="AN27" s="66"/>
      <c r="AO27" s="67"/>
      <c r="AP27" s="129" t="s">
        <v>63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  <c r="BC27" s="130"/>
      <c r="BD27" s="131"/>
    </row>
    <row r="28" spans="2:56" ht="13.5" customHeight="1" x14ac:dyDescent="0.2">
      <c r="B28" s="63">
        <v>17</v>
      </c>
      <c r="C28" s="63"/>
      <c r="D28" s="65">
        <v>0.38680555555555557</v>
      </c>
      <c r="E28" s="66"/>
      <c r="F28" s="66"/>
      <c r="G28" s="66"/>
      <c r="H28" s="67"/>
      <c r="I28" s="64">
        <v>0.5</v>
      </c>
      <c r="J28" s="64"/>
      <c r="K28" s="64"/>
      <c r="L28" s="64"/>
      <c r="M28" s="64"/>
      <c r="N28" s="64">
        <v>0.54166666666666696</v>
      </c>
      <c r="O28" s="64"/>
      <c r="P28" s="64"/>
      <c r="Q28" s="64"/>
      <c r="R28" s="64"/>
      <c r="S28" s="64">
        <v>0.69861111111111107</v>
      </c>
      <c r="T28" s="64"/>
      <c r="U28" s="64"/>
      <c r="V28" s="64"/>
      <c r="W28" s="64"/>
      <c r="X28" s="65">
        <v>0.27013888888888887</v>
      </c>
      <c r="Y28" s="66"/>
      <c r="Z28" s="66"/>
      <c r="AA28" s="67"/>
      <c r="AB28" s="65">
        <v>0.67847222222222259</v>
      </c>
      <c r="AC28" s="66"/>
      <c r="AD28" s="66"/>
      <c r="AE28" s="66"/>
      <c r="AF28" s="67"/>
      <c r="AG28" s="65">
        <v>0.69861111111111107</v>
      </c>
      <c r="AH28" s="66"/>
      <c r="AI28" s="66"/>
      <c r="AJ28" s="66"/>
      <c r="AK28" s="67"/>
      <c r="AL28" s="65">
        <v>2.0138888888888484E-2</v>
      </c>
      <c r="AM28" s="66"/>
      <c r="AN28" s="66"/>
      <c r="AO28" s="67"/>
      <c r="AP28" s="129" t="s">
        <v>63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  <c r="BC28" s="130"/>
      <c r="BD28" s="131"/>
    </row>
    <row r="29" spans="2:56" ht="13.5" customHeight="1" x14ac:dyDescent="0.2">
      <c r="B29" s="63">
        <v>18</v>
      </c>
      <c r="C29" s="63"/>
      <c r="D29" s="65">
        <v>0.41319444444444442</v>
      </c>
      <c r="E29" s="66"/>
      <c r="F29" s="66"/>
      <c r="G29" s="66"/>
      <c r="H29" s="67"/>
      <c r="I29" s="64">
        <v>0.5</v>
      </c>
      <c r="J29" s="64"/>
      <c r="K29" s="64"/>
      <c r="L29" s="64"/>
      <c r="M29" s="64"/>
      <c r="N29" s="64">
        <v>0.54166666666666696</v>
      </c>
      <c r="O29" s="64"/>
      <c r="P29" s="64"/>
      <c r="Q29" s="64"/>
      <c r="R29" s="64"/>
      <c r="S29" s="64">
        <v>0.69861111111111107</v>
      </c>
      <c r="T29" s="64"/>
      <c r="U29" s="64"/>
      <c r="V29" s="64"/>
      <c r="W29" s="64"/>
      <c r="X29" s="65">
        <v>0.24374999999999999</v>
      </c>
      <c r="Y29" s="66"/>
      <c r="Z29" s="66"/>
      <c r="AA29" s="67"/>
      <c r="AB29" s="65"/>
      <c r="AC29" s="66"/>
      <c r="AD29" s="66"/>
      <c r="AE29" s="66"/>
      <c r="AF29" s="67"/>
      <c r="AG29" s="65"/>
      <c r="AH29" s="66"/>
      <c r="AI29" s="66"/>
      <c r="AJ29" s="66"/>
      <c r="AK29" s="67"/>
      <c r="AL29" s="65"/>
      <c r="AM29" s="66"/>
      <c r="AN29" s="66"/>
      <c r="AO29" s="67"/>
      <c r="AP29" s="129" t="s">
        <v>63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  <c r="BC29" s="130"/>
      <c r="BD29" s="131"/>
    </row>
    <row r="30" spans="2:56" ht="13.5" customHeight="1" x14ac:dyDescent="0.2">
      <c r="B30" s="63">
        <v>19</v>
      </c>
      <c r="C30" s="63"/>
      <c r="D30" s="65">
        <v>0.40069444444444446</v>
      </c>
      <c r="E30" s="66"/>
      <c r="F30" s="66"/>
      <c r="G30" s="66"/>
      <c r="H30" s="67"/>
      <c r="I30" s="64">
        <v>0.5</v>
      </c>
      <c r="J30" s="64"/>
      <c r="K30" s="64"/>
      <c r="L30" s="64"/>
      <c r="M30" s="64"/>
      <c r="N30" s="64">
        <v>0.54166666666666696</v>
      </c>
      <c r="O30" s="64"/>
      <c r="P30" s="64"/>
      <c r="Q30" s="64"/>
      <c r="R30" s="64"/>
      <c r="S30" s="64">
        <v>0.75486111111111109</v>
      </c>
      <c r="T30" s="64"/>
      <c r="U30" s="64"/>
      <c r="V30" s="64"/>
      <c r="W30" s="64"/>
      <c r="X30" s="65">
        <v>0.3125</v>
      </c>
      <c r="Y30" s="66"/>
      <c r="Z30" s="66"/>
      <c r="AA30" s="67"/>
      <c r="AB30" s="65">
        <v>0.69236111111111143</v>
      </c>
      <c r="AC30" s="66"/>
      <c r="AD30" s="66"/>
      <c r="AE30" s="66"/>
      <c r="AF30" s="67"/>
      <c r="AG30" s="65">
        <v>0.75486111111111109</v>
      </c>
      <c r="AH30" s="66"/>
      <c r="AI30" s="66"/>
      <c r="AJ30" s="66"/>
      <c r="AK30" s="67"/>
      <c r="AL30" s="65">
        <v>6.2499999999999667E-2</v>
      </c>
      <c r="AM30" s="66"/>
      <c r="AN30" s="66"/>
      <c r="AO30" s="67"/>
      <c r="AP30" s="129" t="s">
        <v>63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  <c r="BC30" s="130"/>
      <c r="BD30" s="131"/>
    </row>
    <row r="31" spans="2:56" ht="13.5" customHeight="1" x14ac:dyDescent="0.2">
      <c r="B31" s="63">
        <v>20</v>
      </c>
      <c r="C31" s="63"/>
      <c r="D31" s="65">
        <v>0.35486111111111113</v>
      </c>
      <c r="E31" s="66"/>
      <c r="F31" s="66"/>
      <c r="G31" s="66"/>
      <c r="H31" s="67"/>
      <c r="I31" s="64">
        <v>0.5</v>
      </c>
      <c r="J31" s="64"/>
      <c r="K31" s="64"/>
      <c r="L31" s="64"/>
      <c r="M31" s="64"/>
      <c r="N31" s="64">
        <v>0.54166666666666696</v>
      </c>
      <c r="O31" s="64"/>
      <c r="P31" s="64"/>
      <c r="Q31" s="64"/>
      <c r="R31" s="64"/>
      <c r="S31" s="64">
        <v>0.7006944444444444</v>
      </c>
      <c r="T31" s="64"/>
      <c r="U31" s="64"/>
      <c r="V31" s="64"/>
      <c r="W31" s="64"/>
      <c r="X31" s="65">
        <v>0.30416666666666664</v>
      </c>
      <c r="Y31" s="66"/>
      <c r="Z31" s="66"/>
      <c r="AA31" s="67"/>
      <c r="AB31" s="65">
        <v>0.64652777777777803</v>
      </c>
      <c r="AC31" s="66"/>
      <c r="AD31" s="66"/>
      <c r="AE31" s="66"/>
      <c r="AF31" s="67"/>
      <c r="AG31" s="65">
        <v>0.7006944444444444</v>
      </c>
      <c r="AH31" s="66"/>
      <c r="AI31" s="66"/>
      <c r="AJ31" s="66"/>
      <c r="AK31" s="67"/>
      <c r="AL31" s="65">
        <v>5.4166666666666363E-2</v>
      </c>
      <c r="AM31" s="66"/>
      <c r="AN31" s="66"/>
      <c r="AO31" s="67"/>
      <c r="AP31" s="129" t="s">
        <v>63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  <c r="BC31" s="130"/>
      <c r="BD31" s="131"/>
    </row>
    <row r="32" spans="2:56" ht="13.5" customHeight="1" x14ac:dyDescent="0.2">
      <c r="B32" s="63">
        <v>23</v>
      </c>
      <c r="C32" s="63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5"/>
      <c r="Y32" s="66"/>
      <c r="Z32" s="66"/>
      <c r="AA32" s="67"/>
      <c r="AB32" s="65"/>
      <c r="AC32" s="66"/>
      <c r="AD32" s="66"/>
      <c r="AE32" s="66"/>
      <c r="AF32" s="67"/>
      <c r="AG32" s="65"/>
      <c r="AH32" s="66"/>
      <c r="AI32" s="66"/>
      <c r="AJ32" s="66"/>
      <c r="AK32" s="67"/>
      <c r="AL32" s="65"/>
      <c r="AM32" s="66"/>
      <c r="AN32" s="66"/>
      <c r="AO32" s="67"/>
      <c r="AP32" s="129"/>
      <c r="AQ32" s="130"/>
      <c r="AR32" s="130"/>
      <c r="AS32" s="130"/>
      <c r="AT32" s="130"/>
      <c r="AU32" s="130"/>
      <c r="AV32" s="130"/>
      <c r="AW32" s="130"/>
      <c r="AX32" s="130"/>
      <c r="AY32" s="130"/>
      <c r="AZ32" s="130"/>
      <c r="BA32" s="130"/>
      <c r="BB32" s="130"/>
      <c r="BC32" s="130"/>
      <c r="BD32" s="131"/>
    </row>
    <row r="33" spans="2:56" ht="13.5" customHeight="1" x14ac:dyDescent="0.2">
      <c r="B33" s="63">
        <v>24</v>
      </c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5"/>
      <c r="Y33" s="66"/>
      <c r="Z33" s="66"/>
      <c r="AA33" s="67"/>
      <c r="AB33" s="65"/>
      <c r="AC33" s="66"/>
      <c r="AD33" s="66"/>
      <c r="AE33" s="66"/>
      <c r="AF33" s="67"/>
      <c r="AG33" s="65"/>
      <c r="AH33" s="66"/>
      <c r="AI33" s="66"/>
      <c r="AJ33" s="66"/>
      <c r="AK33" s="67"/>
      <c r="AL33" s="65"/>
      <c r="AM33" s="66"/>
      <c r="AN33" s="66"/>
      <c r="AO33" s="67"/>
      <c r="AP33" s="132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34"/>
    </row>
    <row r="34" spans="2:56" ht="13.5" customHeight="1" x14ac:dyDescent="0.2">
      <c r="B34" s="63">
        <v>25</v>
      </c>
      <c r="C34" s="63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5"/>
      <c r="Y34" s="66"/>
      <c r="Z34" s="66"/>
      <c r="AA34" s="67"/>
      <c r="AB34" s="65"/>
      <c r="AC34" s="66"/>
      <c r="AD34" s="66"/>
      <c r="AE34" s="66"/>
      <c r="AF34" s="67"/>
      <c r="AG34" s="65"/>
      <c r="AH34" s="66"/>
      <c r="AI34" s="66"/>
      <c r="AJ34" s="66"/>
      <c r="AK34" s="67"/>
      <c r="AL34" s="65"/>
      <c r="AM34" s="66"/>
      <c r="AN34" s="66"/>
      <c r="AO34" s="67"/>
      <c r="AP34" s="132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34"/>
    </row>
    <row r="35" spans="2:56" ht="13.5" customHeight="1" x14ac:dyDescent="0.2">
      <c r="B35" s="63">
        <v>26</v>
      </c>
      <c r="C35" s="63"/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5"/>
      <c r="Y35" s="66"/>
      <c r="Z35" s="66"/>
      <c r="AA35" s="67"/>
      <c r="AB35" s="65"/>
      <c r="AC35" s="66"/>
      <c r="AD35" s="66"/>
      <c r="AE35" s="66"/>
      <c r="AF35" s="67"/>
      <c r="AG35" s="65"/>
      <c r="AH35" s="66"/>
      <c r="AI35" s="66"/>
      <c r="AJ35" s="66"/>
      <c r="AK35" s="67"/>
      <c r="AL35" s="65"/>
      <c r="AM35" s="66"/>
      <c r="AN35" s="66"/>
      <c r="AO35" s="67"/>
      <c r="AP35" s="132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34"/>
    </row>
    <row r="36" spans="2:56" ht="13.5" customHeight="1" x14ac:dyDescent="0.2">
      <c r="B36" s="63">
        <v>27</v>
      </c>
      <c r="C36" s="63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5"/>
      <c r="Y36" s="66"/>
      <c r="Z36" s="66"/>
      <c r="AA36" s="67"/>
      <c r="AB36" s="65"/>
      <c r="AC36" s="66"/>
      <c r="AD36" s="66"/>
      <c r="AE36" s="66"/>
      <c r="AF36" s="67"/>
      <c r="AG36" s="65"/>
      <c r="AH36" s="66"/>
      <c r="AI36" s="66"/>
      <c r="AJ36" s="66"/>
      <c r="AK36" s="67"/>
      <c r="AL36" s="65"/>
      <c r="AM36" s="66"/>
      <c r="AN36" s="66"/>
      <c r="AO36" s="67"/>
      <c r="AP36" s="132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34"/>
    </row>
    <row r="37" spans="2:56" ht="13.5" customHeight="1" x14ac:dyDescent="0.2">
      <c r="B37" s="63">
        <v>30</v>
      </c>
      <c r="C37" s="63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5"/>
      <c r="Y37" s="66"/>
      <c r="Z37" s="66"/>
      <c r="AA37" s="67"/>
      <c r="AB37" s="65"/>
      <c r="AC37" s="66"/>
      <c r="AD37" s="66"/>
      <c r="AE37" s="66"/>
      <c r="AF37" s="67"/>
      <c r="AG37" s="65"/>
      <c r="AH37" s="66"/>
      <c r="AI37" s="66"/>
      <c r="AJ37" s="66"/>
      <c r="AK37" s="67"/>
      <c r="AL37" s="65"/>
      <c r="AM37" s="66"/>
      <c r="AN37" s="66"/>
      <c r="AO37" s="67"/>
      <c r="AP37" s="132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34"/>
    </row>
    <row r="38" spans="2:56" ht="13.5" customHeight="1" x14ac:dyDescent="0.2">
      <c r="B38" s="63">
        <v>31</v>
      </c>
      <c r="C38" s="63"/>
      <c r="D38" s="60"/>
      <c r="E38" s="61"/>
      <c r="F38" s="61"/>
      <c r="G38" s="61"/>
      <c r="H38" s="62"/>
      <c r="I38" s="60"/>
      <c r="J38" s="61"/>
      <c r="K38" s="61"/>
      <c r="L38" s="61"/>
      <c r="M38" s="62"/>
      <c r="N38" s="60"/>
      <c r="O38" s="61"/>
      <c r="P38" s="61"/>
      <c r="Q38" s="61"/>
      <c r="R38" s="62"/>
      <c r="S38" s="60"/>
      <c r="T38" s="61"/>
      <c r="U38" s="61"/>
      <c r="V38" s="61"/>
      <c r="W38" s="62"/>
      <c r="X38" s="65"/>
      <c r="Y38" s="66"/>
      <c r="Z38" s="66"/>
      <c r="AA38" s="67"/>
      <c r="AB38" s="60"/>
      <c r="AC38" s="61"/>
      <c r="AD38" s="61"/>
      <c r="AE38" s="61"/>
      <c r="AF38" s="62"/>
      <c r="AG38" s="60"/>
      <c r="AH38" s="61"/>
      <c r="AI38" s="61"/>
      <c r="AJ38" s="61"/>
      <c r="AK38" s="62"/>
      <c r="AL38" s="38"/>
      <c r="AM38" s="48"/>
      <c r="AN38" s="48"/>
      <c r="AO38" s="39"/>
      <c r="AP38" s="132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34"/>
    </row>
    <row r="39" spans="2:56" ht="13.5" customHeight="1" x14ac:dyDescent="0.2">
      <c r="B39" s="33" t="s">
        <v>27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34"/>
      <c r="X39" s="122">
        <f>SUM(X17:AA38)</f>
        <v>4.1708333333333334</v>
      </c>
      <c r="Y39" s="123"/>
      <c r="Z39" s="123"/>
      <c r="AA39" s="124"/>
      <c r="AB39" s="60"/>
      <c r="AC39" s="61"/>
      <c r="AD39" s="61"/>
      <c r="AE39" s="61"/>
      <c r="AF39" s="62"/>
      <c r="AG39" s="60"/>
      <c r="AH39" s="61"/>
      <c r="AI39" s="61"/>
      <c r="AJ39" s="61"/>
      <c r="AK39" s="62"/>
      <c r="AL39" s="122">
        <f>SUM(AL17:AO38)</f>
        <v>0.43541666666666334</v>
      </c>
      <c r="AM39" s="123"/>
      <c r="AN39" s="123"/>
      <c r="AO39" s="124"/>
      <c r="AP39" s="135"/>
      <c r="AQ39" s="136"/>
      <c r="AR39" s="136"/>
      <c r="AS39" s="136"/>
      <c r="AT39" s="136"/>
      <c r="AU39" s="136"/>
      <c r="AV39" s="136"/>
      <c r="AW39" s="136"/>
      <c r="AX39" s="136"/>
      <c r="AY39" s="136"/>
      <c r="AZ39" s="136"/>
      <c r="BA39" s="136"/>
      <c r="BB39" s="136"/>
      <c r="BC39" s="136"/>
      <c r="BD39" s="137"/>
    </row>
    <row r="40" spans="2:56" ht="6" customHeight="1" x14ac:dyDescent="0.2"/>
    <row r="41" spans="2:56" s="24" customFormat="1" ht="12" x14ac:dyDescent="0.2">
      <c r="B41" s="33" t="s">
        <v>28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  <c r="AJ41" s="50"/>
      <c r="AK41" s="50"/>
      <c r="AL41" s="50"/>
      <c r="AM41" s="50"/>
      <c r="AN41" s="50"/>
      <c r="AO41" s="34"/>
      <c r="AP41" s="33" t="s">
        <v>29</v>
      </c>
      <c r="AQ41" s="50"/>
      <c r="AR41" s="50"/>
      <c r="AS41" s="50"/>
      <c r="AT41" s="50"/>
      <c r="AU41" s="50"/>
      <c r="AV41" s="50"/>
      <c r="AW41" s="50"/>
      <c r="AX41" s="50"/>
      <c r="AY41" s="50"/>
      <c r="AZ41" s="50"/>
      <c r="BA41" s="50"/>
      <c r="BB41" s="50"/>
      <c r="BC41" s="50"/>
      <c r="BD41" s="34"/>
    </row>
    <row r="42" spans="2:56" s="25" customFormat="1" ht="12" x14ac:dyDescent="0.2">
      <c r="B42" s="46" t="s">
        <v>30</v>
      </c>
      <c r="C42" s="46"/>
      <c r="D42" s="46">
        <v>220</v>
      </c>
      <c r="E42" s="46"/>
      <c r="F42" s="46"/>
      <c r="G42" s="46"/>
      <c r="H42" s="49" t="s">
        <v>31</v>
      </c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3"/>
      <c r="AE42" s="46" t="s">
        <v>32</v>
      </c>
      <c r="AF42" s="46"/>
      <c r="AG42" s="47">
        <f>Z11/220*D42</f>
        <v>2165</v>
      </c>
      <c r="AH42" s="47"/>
      <c r="AI42" s="47"/>
      <c r="AJ42" s="47"/>
      <c r="AK42" s="47"/>
      <c r="AL42" s="47"/>
      <c r="AM42" s="47"/>
      <c r="AN42" s="47"/>
      <c r="AO42" s="47"/>
      <c r="AP42" s="51"/>
      <c r="AQ42" s="52"/>
      <c r="AR42" s="52"/>
      <c r="AS42" s="52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3"/>
    </row>
    <row r="43" spans="2:56" s="25" customFormat="1" ht="12" x14ac:dyDescent="0.2">
      <c r="B43" s="46" t="s">
        <v>30</v>
      </c>
      <c r="C43" s="46"/>
      <c r="D43" s="46"/>
      <c r="E43" s="46"/>
      <c r="F43" s="46"/>
      <c r="G43" s="46"/>
      <c r="H43" s="49" t="s">
        <v>33</v>
      </c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3"/>
      <c r="AE43" s="46" t="s">
        <v>32</v>
      </c>
      <c r="AF43" s="46"/>
      <c r="AG43" s="47">
        <f>Z11/220*D43*1.5</f>
        <v>0</v>
      </c>
      <c r="AH43" s="47"/>
      <c r="AI43" s="47"/>
      <c r="AJ43" s="47"/>
      <c r="AK43" s="47"/>
      <c r="AL43" s="47"/>
      <c r="AM43" s="47"/>
      <c r="AN43" s="47"/>
      <c r="AO43" s="47"/>
      <c r="AP43" s="54"/>
      <c r="AQ43" s="55"/>
      <c r="AR43" s="55"/>
      <c r="AS43" s="55"/>
      <c r="AT43" s="55"/>
      <c r="AU43" s="55"/>
      <c r="AV43" s="55"/>
      <c r="AW43" s="55"/>
      <c r="AX43" s="55"/>
      <c r="AY43" s="55"/>
      <c r="AZ43" s="55"/>
      <c r="BA43" s="55"/>
      <c r="BB43" s="55"/>
      <c r="BC43" s="55"/>
      <c r="BD43" s="56"/>
    </row>
    <row r="44" spans="2:56" s="25" customFormat="1" ht="12" x14ac:dyDescent="0.2">
      <c r="B44" s="46" t="s">
        <v>30</v>
      </c>
      <c r="C44" s="46"/>
      <c r="D44" s="46"/>
      <c r="E44" s="46"/>
      <c r="F44" s="46"/>
      <c r="G44" s="46"/>
      <c r="H44" s="49" t="s">
        <v>34</v>
      </c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3"/>
      <c r="AE44" s="46" t="s">
        <v>32</v>
      </c>
      <c r="AF44" s="46"/>
      <c r="AG44" s="47">
        <f>Z11/220*D44*2</f>
        <v>0</v>
      </c>
      <c r="AH44" s="47"/>
      <c r="AI44" s="47"/>
      <c r="AJ44" s="47"/>
      <c r="AK44" s="47"/>
      <c r="AL44" s="47"/>
      <c r="AM44" s="47"/>
      <c r="AN44" s="47"/>
      <c r="AO44" s="47"/>
      <c r="AP44" s="54"/>
      <c r="AQ44" s="55"/>
      <c r="AR44" s="55"/>
      <c r="AS44" s="55"/>
      <c r="AT44" s="55"/>
      <c r="AU44" s="55"/>
      <c r="AV44" s="55"/>
      <c r="AW44" s="55"/>
      <c r="AX44" s="55"/>
      <c r="AY44" s="55"/>
      <c r="AZ44" s="55"/>
      <c r="BA44" s="55"/>
      <c r="BB44" s="55"/>
      <c r="BC44" s="55"/>
      <c r="BD44" s="56"/>
    </row>
    <row r="45" spans="2:56" s="25" customFormat="1" ht="12" x14ac:dyDescent="0.2">
      <c r="B45" s="46" t="s">
        <v>30</v>
      </c>
      <c r="C45" s="46"/>
      <c r="D45" s="46"/>
      <c r="E45" s="46"/>
      <c r="F45" s="46"/>
      <c r="G45" s="46"/>
      <c r="H45" s="49" t="s">
        <v>35</v>
      </c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6" t="s">
        <v>32</v>
      </c>
      <c r="AF45" s="46"/>
      <c r="AG45" s="47">
        <v>0</v>
      </c>
      <c r="AH45" s="47"/>
      <c r="AI45" s="47"/>
      <c r="AJ45" s="47"/>
      <c r="AK45" s="47"/>
      <c r="AL45" s="47"/>
      <c r="AM45" s="47"/>
      <c r="AN45" s="47"/>
      <c r="AO45" s="47"/>
      <c r="AP45" s="54"/>
      <c r="AQ45" s="55"/>
      <c r="AR45" s="55"/>
      <c r="AS45" s="55"/>
      <c r="AT45" s="55"/>
      <c r="AU45" s="55"/>
      <c r="AV45" s="55"/>
      <c r="AW45" s="55"/>
      <c r="AX45" s="55"/>
      <c r="AY45" s="55"/>
      <c r="AZ45" s="55"/>
      <c r="BA45" s="55"/>
      <c r="BB45" s="55"/>
      <c r="BC45" s="55"/>
      <c r="BD45" s="56"/>
    </row>
    <row r="46" spans="2:56" s="25" customFormat="1" ht="12" x14ac:dyDescent="0.2">
      <c r="B46" s="38" t="s">
        <v>30</v>
      </c>
      <c r="C46" s="39"/>
      <c r="D46" s="38"/>
      <c r="E46" s="48"/>
      <c r="F46" s="48"/>
      <c r="G46" s="48"/>
      <c r="H46" s="43" t="s">
        <v>36</v>
      </c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5"/>
      <c r="AE46" s="38" t="s">
        <v>32</v>
      </c>
      <c r="AF46" s="39"/>
      <c r="AG46" s="27">
        <v>0</v>
      </c>
      <c r="AH46" s="28"/>
      <c r="AI46" s="28"/>
      <c r="AJ46" s="28"/>
      <c r="AK46" s="28"/>
      <c r="AL46" s="28"/>
      <c r="AM46" s="28"/>
      <c r="AN46" s="28"/>
      <c r="AO46" s="29"/>
      <c r="AP46" s="54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6"/>
    </row>
    <row r="47" spans="2:56" s="25" customFormat="1" ht="12" x14ac:dyDescent="0.2">
      <c r="B47" s="46" t="s">
        <v>37</v>
      </c>
      <c r="C47" s="46"/>
      <c r="D47" s="43" t="s">
        <v>38</v>
      </c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5"/>
      <c r="AE47" s="46" t="s">
        <v>32</v>
      </c>
      <c r="AF47" s="46"/>
      <c r="AG47" s="47">
        <f>SUM(AG42:AG46)</f>
        <v>2165</v>
      </c>
      <c r="AH47" s="47"/>
      <c r="AI47" s="47"/>
      <c r="AJ47" s="47"/>
      <c r="AK47" s="47"/>
      <c r="AL47" s="47"/>
      <c r="AM47" s="47"/>
      <c r="AN47" s="47"/>
      <c r="AO47" s="47"/>
      <c r="AP47" s="54"/>
      <c r="AQ47" s="55"/>
      <c r="AR47" s="55"/>
      <c r="AS47" s="55"/>
      <c r="AT47" s="55"/>
      <c r="AU47" s="55"/>
      <c r="AV47" s="55"/>
      <c r="AW47" s="55"/>
      <c r="AX47" s="55"/>
      <c r="AY47" s="55"/>
      <c r="AZ47" s="55"/>
      <c r="BA47" s="55"/>
      <c r="BB47" s="55"/>
      <c r="BC47" s="55"/>
      <c r="BD47" s="56"/>
    </row>
    <row r="48" spans="2:56" s="25" customFormat="1" ht="12" x14ac:dyDescent="0.2">
      <c r="B48" s="46" t="s">
        <v>4</v>
      </c>
      <c r="C48" s="46"/>
      <c r="D48" s="38"/>
      <c r="E48" s="48"/>
      <c r="F48" s="48"/>
      <c r="G48" s="39"/>
      <c r="H48" s="38" t="s">
        <v>39</v>
      </c>
      <c r="I48" s="39"/>
      <c r="J48" s="43" t="s">
        <v>40</v>
      </c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5"/>
      <c r="AE48" s="46" t="s">
        <v>32</v>
      </c>
      <c r="AF48" s="46"/>
      <c r="AG48" s="47">
        <v>0</v>
      </c>
      <c r="AH48" s="47"/>
      <c r="AI48" s="47"/>
      <c r="AJ48" s="47"/>
      <c r="AK48" s="47"/>
      <c r="AL48" s="47"/>
      <c r="AM48" s="47"/>
      <c r="AN48" s="47"/>
      <c r="AO48" s="47"/>
      <c r="AP48" s="54"/>
      <c r="AQ48" s="55"/>
      <c r="AR48" s="55"/>
      <c r="AS48" s="55"/>
      <c r="AT48" s="55"/>
      <c r="AU48" s="55"/>
      <c r="AV48" s="55"/>
      <c r="AW48" s="55"/>
      <c r="AX48" s="55"/>
      <c r="AY48" s="55"/>
      <c r="AZ48" s="55"/>
      <c r="BA48" s="55"/>
      <c r="BB48" s="55"/>
      <c r="BC48" s="55"/>
      <c r="BD48" s="56"/>
    </row>
    <row r="49" spans="2:56" s="25" customFormat="1" ht="12" x14ac:dyDescent="0.2">
      <c r="B49" s="38" t="s">
        <v>4</v>
      </c>
      <c r="C49" s="39"/>
      <c r="D49" s="38"/>
      <c r="E49" s="48"/>
      <c r="F49" s="48"/>
      <c r="G49" s="39"/>
      <c r="H49" s="43" t="s">
        <v>41</v>
      </c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5"/>
      <c r="AE49" s="38" t="s">
        <v>32</v>
      </c>
      <c r="AF49" s="39"/>
      <c r="AG49" s="27">
        <v>0</v>
      </c>
      <c r="AH49" s="28"/>
      <c r="AI49" s="28"/>
      <c r="AJ49" s="28"/>
      <c r="AK49" s="28"/>
      <c r="AL49" s="28"/>
      <c r="AM49" s="28"/>
      <c r="AN49" s="28"/>
      <c r="AO49" s="29"/>
      <c r="AP49" s="54"/>
      <c r="AQ49" s="55"/>
      <c r="AR49" s="55"/>
      <c r="AS49" s="55"/>
      <c r="AT49" s="55"/>
      <c r="AU49" s="55"/>
      <c r="AV49" s="55"/>
      <c r="AW49" s="55"/>
      <c r="AX49" s="55"/>
      <c r="AY49" s="55"/>
      <c r="AZ49" s="55"/>
      <c r="BA49" s="55"/>
      <c r="BB49" s="55"/>
      <c r="BC49" s="55"/>
      <c r="BD49" s="56"/>
    </row>
    <row r="50" spans="2:56" s="25" customFormat="1" ht="12" x14ac:dyDescent="0.2">
      <c r="B50" s="46" t="s">
        <v>4</v>
      </c>
      <c r="C50" s="46"/>
      <c r="D50" s="38"/>
      <c r="E50" s="48"/>
      <c r="F50" s="48"/>
      <c r="G50" s="39"/>
      <c r="H50" s="38" t="s">
        <v>39</v>
      </c>
      <c r="I50" s="39"/>
      <c r="J50" s="43" t="s">
        <v>42</v>
      </c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5"/>
      <c r="AE50" s="46" t="s">
        <v>32</v>
      </c>
      <c r="AF50" s="46"/>
      <c r="AG50" s="47">
        <v>0</v>
      </c>
      <c r="AH50" s="47"/>
      <c r="AI50" s="47"/>
      <c r="AJ50" s="47"/>
      <c r="AK50" s="47"/>
      <c r="AL50" s="47"/>
      <c r="AM50" s="47"/>
      <c r="AN50" s="47"/>
      <c r="AO50" s="47"/>
      <c r="AP50" s="54"/>
      <c r="AQ50" s="55"/>
      <c r="AR50" s="55"/>
      <c r="AS50" s="55"/>
      <c r="AT50" s="55"/>
      <c r="AU50" s="55"/>
      <c r="AV50" s="55"/>
      <c r="AW50" s="55"/>
      <c r="AX50" s="55"/>
      <c r="AY50" s="55"/>
      <c r="AZ50" s="55"/>
      <c r="BA50" s="55"/>
      <c r="BB50" s="55"/>
      <c r="BC50" s="55"/>
      <c r="BD50" s="56"/>
    </row>
    <row r="51" spans="2:56" s="25" customFormat="1" ht="12" x14ac:dyDescent="0.2">
      <c r="B51" s="46" t="s">
        <v>4</v>
      </c>
      <c r="C51" s="46"/>
      <c r="D51" s="43" t="s">
        <v>43</v>
      </c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5"/>
      <c r="AE51" s="46" t="s">
        <v>32</v>
      </c>
      <c r="AF51" s="46"/>
      <c r="AG51" s="47">
        <v>0</v>
      </c>
      <c r="AH51" s="47"/>
      <c r="AI51" s="47"/>
      <c r="AJ51" s="47"/>
      <c r="AK51" s="47"/>
      <c r="AL51" s="47"/>
      <c r="AM51" s="47"/>
      <c r="AN51" s="47"/>
      <c r="AO51" s="47"/>
      <c r="AP51" s="54"/>
      <c r="AQ51" s="55"/>
      <c r="AR51" s="55"/>
      <c r="AS51" s="55"/>
      <c r="AT51" s="55"/>
      <c r="AU51" s="55"/>
      <c r="AV51" s="55"/>
      <c r="AW51" s="55"/>
      <c r="AX51" s="55"/>
      <c r="AY51" s="55"/>
      <c r="AZ51" s="55"/>
      <c r="BA51" s="55"/>
      <c r="BB51" s="55"/>
      <c r="BC51" s="55"/>
      <c r="BD51" s="56"/>
    </row>
    <row r="52" spans="2:56" s="25" customFormat="1" ht="12" x14ac:dyDescent="0.2">
      <c r="B52" s="38" t="s">
        <v>30</v>
      </c>
      <c r="C52" s="39"/>
      <c r="D52" s="40"/>
      <c r="E52" s="41"/>
      <c r="F52" s="41"/>
      <c r="G52" s="42"/>
      <c r="H52" s="43" t="s">
        <v>44</v>
      </c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5"/>
      <c r="AE52" s="38" t="s">
        <v>32</v>
      </c>
      <c r="AF52" s="39"/>
      <c r="AG52" s="27">
        <v>0</v>
      </c>
      <c r="AH52" s="28"/>
      <c r="AI52" s="28"/>
      <c r="AJ52" s="28"/>
      <c r="AK52" s="28"/>
      <c r="AL52" s="28"/>
      <c r="AM52" s="28"/>
      <c r="AN52" s="28"/>
      <c r="AO52" s="29"/>
      <c r="AP52" s="54"/>
      <c r="AQ52" s="55"/>
      <c r="AR52" s="55"/>
      <c r="AS52" s="55"/>
      <c r="AT52" s="55"/>
      <c r="AU52" s="55"/>
      <c r="AV52" s="55"/>
      <c r="AW52" s="55"/>
      <c r="AX52" s="55"/>
      <c r="AY52" s="55"/>
      <c r="AZ52" s="55"/>
      <c r="BA52" s="55"/>
      <c r="BB52" s="55"/>
      <c r="BC52" s="55"/>
      <c r="BD52" s="56"/>
    </row>
    <row r="53" spans="2:56" s="25" customFormat="1" ht="12" x14ac:dyDescent="0.2">
      <c r="B53" s="30" t="s">
        <v>45</v>
      </c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2"/>
      <c r="AE53" s="33" t="s">
        <v>32</v>
      </c>
      <c r="AF53" s="34"/>
      <c r="AG53" s="35">
        <f>AG47-AG48-AG49-AG50-AG51+AG52</f>
        <v>2165</v>
      </c>
      <c r="AH53" s="36"/>
      <c r="AI53" s="36"/>
      <c r="AJ53" s="36"/>
      <c r="AK53" s="36"/>
      <c r="AL53" s="36"/>
      <c r="AM53" s="36"/>
      <c r="AN53" s="36"/>
      <c r="AO53" s="37"/>
      <c r="AP53" s="57"/>
      <c r="AQ53" s="58"/>
      <c r="AR53" s="58"/>
      <c r="AS53" s="58"/>
      <c r="AT53" s="58"/>
      <c r="AU53" s="58"/>
      <c r="AV53" s="58"/>
      <c r="AW53" s="58"/>
      <c r="AX53" s="58"/>
      <c r="AY53" s="58"/>
      <c r="AZ53" s="58"/>
      <c r="BA53" s="58"/>
      <c r="BB53" s="58"/>
      <c r="BC53" s="58"/>
      <c r="BD53" s="59"/>
    </row>
    <row r="54" spans="2:56" s="25" customFormat="1" ht="12" x14ac:dyDescent="0.2">
      <c r="B54" s="26" t="s">
        <v>50</v>
      </c>
    </row>
    <row r="55" spans="2:56" s="25" customFormat="1" ht="12" x14ac:dyDescent="0.2"/>
    <row r="56" spans="2:56" s="25" customFormat="1" ht="12" x14ac:dyDescent="0.2"/>
    <row r="57" spans="2:56" s="25" customFormat="1" ht="12" x14ac:dyDescent="0.2"/>
  </sheetData>
  <mergeCells count="322">
    <mergeCell ref="B2:BD2"/>
    <mergeCell ref="B5:AR5"/>
    <mergeCell ref="AS5:BD5"/>
    <mergeCell ref="B7:X7"/>
    <mergeCell ref="Y7:AC7"/>
    <mergeCell ref="AD7:AN7"/>
    <mergeCell ref="AO7:BA7"/>
    <mergeCell ref="BB7:BD7"/>
    <mergeCell ref="B9:AE9"/>
    <mergeCell ref="AF9:AR9"/>
    <mergeCell ref="AS9:BD9"/>
    <mergeCell ref="B11:Y11"/>
    <mergeCell ref="Z11:AH11"/>
    <mergeCell ref="AI11:BD11"/>
    <mergeCell ref="B13:Y13"/>
    <mergeCell ref="Z13:AJ13"/>
    <mergeCell ref="AK13:AV13"/>
    <mergeCell ref="AW13:BD13"/>
    <mergeCell ref="B15:C16"/>
    <mergeCell ref="D15:H15"/>
    <mergeCell ref="I15:R15"/>
    <mergeCell ref="S15:W15"/>
    <mergeCell ref="D16:H16"/>
    <mergeCell ref="I16:M16"/>
    <mergeCell ref="N16:R16"/>
    <mergeCell ref="S16:W16"/>
    <mergeCell ref="X15:AA15"/>
    <mergeCell ref="AB15:AK15"/>
    <mergeCell ref="AL15:AO15"/>
    <mergeCell ref="AP15:BD15"/>
    <mergeCell ref="X16:AA16"/>
    <mergeCell ref="AB16:AF16"/>
    <mergeCell ref="AG16:AK16"/>
    <mergeCell ref="AL16:AO16"/>
    <mergeCell ref="AP16:BD16"/>
    <mergeCell ref="B17:C17"/>
    <mergeCell ref="D17:H17"/>
    <mergeCell ref="I17:M17"/>
    <mergeCell ref="N17:R17"/>
    <mergeCell ref="S17:W17"/>
    <mergeCell ref="X17:AA17"/>
    <mergeCell ref="AB17:AF17"/>
    <mergeCell ref="AG17:AK17"/>
    <mergeCell ref="AL17:AO17"/>
    <mergeCell ref="AP17:BD17"/>
    <mergeCell ref="B18:C18"/>
    <mergeCell ref="D18:H18"/>
    <mergeCell ref="I18:M18"/>
    <mergeCell ref="N18:R18"/>
    <mergeCell ref="S18:W18"/>
    <mergeCell ref="X18:AA18"/>
    <mergeCell ref="AB18:AF18"/>
    <mergeCell ref="AG18:AK18"/>
    <mergeCell ref="AL18:AO18"/>
    <mergeCell ref="AP18:BD18"/>
    <mergeCell ref="B19:C19"/>
    <mergeCell ref="D19:H19"/>
    <mergeCell ref="I19:M19"/>
    <mergeCell ref="N19:R19"/>
    <mergeCell ref="S19:W19"/>
    <mergeCell ref="X19:AA19"/>
    <mergeCell ref="AB19:AF19"/>
    <mergeCell ref="AG19:AK19"/>
    <mergeCell ref="AL19:AO19"/>
    <mergeCell ref="AP19:BD19"/>
    <mergeCell ref="B20:C20"/>
    <mergeCell ref="D20:H20"/>
    <mergeCell ref="I20:M20"/>
    <mergeCell ref="N20:R20"/>
    <mergeCell ref="S20:W20"/>
    <mergeCell ref="X20:AA20"/>
    <mergeCell ref="AB20:AF20"/>
    <mergeCell ref="AG20:AK20"/>
    <mergeCell ref="AL20:AO20"/>
    <mergeCell ref="AP20:BD20"/>
    <mergeCell ref="B21:C21"/>
    <mergeCell ref="D21:H21"/>
    <mergeCell ref="I21:M21"/>
    <mergeCell ref="N21:R21"/>
    <mergeCell ref="S21:W21"/>
    <mergeCell ref="X21:AA21"/>
    <mergeCell ref="AB21:AF21"/>
    <mergeCell ref="AG21:AK21"/>
    <mergeCell ref="AL21:AO21"/>
    <mergeCell ref="AP21:BD21"/>
    <mergeCell ref="B22:C22"/>
    <mergeCell ref="D22:H22"/>
    <mergeCell ref="I22:M22"/>
    <mergeCell ref="N22:R22"/>
    <mergeCell ref="S22:W22"/>
    <mergeCell ref="X22:AA22"/>
    <mergeCell ref="AB22:AF22"/>
    <mergeCell ref="AG22:AK22"/>
    <mergeCell ref="AL22:AO22"/>
    <mergeCell ref="AP22:BD22"/>
    <mergeCell ref="B23:C23"/>
    <mergeCell ref="D23:H23"/>
    <mergeCell ref="I23:M23"/>
    <mergeCell ref="N23:R23"/>
    <mergeCell ref="S23:W23"/>
    <mergeCell ref="X23:AA23"/>
    <mergeCell ref="AB23:AF23"/>
    <mergeCell ref="AG23:AK23"/>
    <mergeCell ref="AL23:AO23"/>
    <mergeCell ref="AP23:BD23"/>
    <mergeCell ref="B24:C24"/>
    <mergeCell ref="D24:H24"/>
    <mergeCell ref="I24:M24"/>
    <mergeCell ref="N24:R24"/>
    <mergeCell ref="S24:W24"/>
    <mergeCell ref="X24:AA24"/>
    <mergeCell ref="AB24:AF24"/>
    <mergeCell ref="AG24:AK24"/>
    <mergeCell ref="AL24:AO24"/>
    <mergeCell ref="AP24:BD24"/>
    <mergeCell ref="B25:C25"/>
    <mergeCell ref="D25:H25"/>
    <mergeCell ref="I25:M25"/>
    <mergeCell ref="N25:R25"/>
    <mergeCell ref="S25:W25"/>
    <mergeCell ref="X25:AA25"/>
    <mergeCell ref="AB25:AF25"/>
    <mergeCell ref="AG25:AK25"/>
    <mergeCell ref="AL25:AO25"/>
    <mergeCell ref="AP25:BD25"/>
    <mergeCell ref="B26:C26"/>
    <mergeCell ref="D26:H26"/>
    <mergeCell ref="I26:M26"/>
    <mergeCell ref="N26:R26"/>
    <mergeCell ref="S26:W26"/>
    <mergeCell ref="X26:AA26"/>
    <mergeCell ref="AB26:AF26"/>
    <mergeCell ref="AG26:AK26"/>
    <mergeCell ref="AL26:AO26"/>
    <mergeCell ref="AP26:BD26"/>
    <mergeCell ref="B27:C27"/>
    <mergeCell ref="D27:H27"/>
    <mergeCell ref="I27:M27"/>
    <mergeCell ref="N27:R27"/>
    <mergeCell ref="S27:W27"/>
    <mergeCell ref="X27:AA27"/>
    <mergeCell ref="AB27:AF27"/>
    <mergeCell ref="AG27:AK27"/>
    <mergeCell ref="AL27:AO27"/>
    <mergeCell ref="AP27:BD27"/>
    <mergeCell ref="B28:C28"/>
    <mergeCell ref="D28:H28"/>
    <mergeCell ref="I28:M28"/>
    <mergeCell ref="N28:R28"/>
    <mergeCell ref="S28:W28"/>
    <mergeCell ref="X28:AA28"/>
    <mergeCell ref="AB28:AF28"/>
    <mergeCell ref="AG28:AK28"/>
    <mergeCell ref="AL28:AO28"/>
    <mergeCell ref="AP28:BD28"/>
    <mergeCell ref="B29:C29"/>
    <mergeCell ref="D29:H29"/>
    <mergeCell ref="I29:M29"/>
    <mergeCell ref="N29:R29"/>
    <mergeCell ref="S29:W29"/>
    <mergeCell ref="X29:AA29"/>
    <mergeCell ref="AB29:AF29"/>
    <mergeCell ref="AG29:AK29"/>
    <mergeCell ref="AL29:AO29"/>
    <mergeCell ref="AP29:BD29"/>
    <mergeCell ref="B30:C30"/>
    <mergeCell ref="D30:H30"/>
    <mergeCell ref="I30:M30"/>
    <mergeCell ref="N30:R30"/>
    <mergeCell ref="S30:W30"/>
    <mergeCell ref="X30:AA30"/>
    <mergeCell ref="AB30:AF30"/>
    <mergeCell ref="AG30:AK30"/>
    <mergeCell ref="AL30:AO30"/>
    <mergeCell ref="AP30:BD30"/>
    <mergeCell ref="B31:C31"/>
    <mergeCell ref="D31:H31"/>
    <mergeCell ref="I31:M31"/>
    <mergeCell ref="N31:R31"/>
    <mergeCell ref="S31:W31"/>
    <mergeCell ref="X31:AA31"/>
    <mergeCell ref="AB31:AF31"/>
    <mergeCell ref="AG31:AK31"/>
    <mergeCell ref="AL31:AO31"/>
    <mergeCell ref="AP31:BD31"/>
    <mergeCell ref="B32:C32"/>
    <mergeCell ref="D32:H32"/>
    <mergeCell ref="I32:M32"/>
    <mergeCell ref="N32:R32"/>
    <mergeCell ref="S32:W32"/>
    <mergeCell ref="X32:AA32"/>
    <mergeCell ref="AB32:AF32"/>
    <mergeCell ref="AG32:AK32"/>
    <mergeCell ref="AL32:AO32"/>
    <mergeCell ref="AP32:BD32"/>
    <mergeCell ref="B33:C33"/>
    <mergeCell ref="D33:H33"/>
    <mergeCell ref="I33:M33"/>
    <mergeCell ref="N33:R33"/>
    <mergeCell ref="S33:W33"/>
    <mergeCell ref="X33:AA33"/>
    <mergeCell ref="AB33:AF33"/>
    <mergeCell ref="AG33:AK33"/>
    <mergeCell ref="AL33:AO33"/>
    <mergeCell ref="AP33:BD33"/>
    <mergeCell ref="B34:C34"/>
    <mergeCell ref="D34:H34"/>
    <mergeCell ref="I34:M34"/>
    <mergeCell ref="N34:R34"/>
    <mergeCell ref="S34:W34"/>
    <mergeCell ref="X34:AA34"/>
    <mergeCell ref="AB34:AF34"/>
    <mergeCell ref="AG34:AK34"/>
    <mergeCell ref="AL34:AO34"/>
    <mergeCell ref="AP34:BD34"/>
    <mergeCell ref="B35:C35"/>
    <mergeCell ref="D35:H35"/>
    <mergeCell ref="I35:M35"/>
    <mergeCell ref="N35:R35"/>
    <mergeCell ref="S35:W35"/>
    <mergeCell ref="X35:AA35"/>
    <mergeCell ref="AB35:AF35"/>
    <mergeCell ref="AG35:AK35"/>
    <mergeCell ref="AL35:AO35"/>
    <mergeCell ref="AP35:BD35"/>
    <mergeCell ref="B36:C36"/>
    <mergeCell ref="D36:H36"/>
    <mergeCell ref="I36:M36"/>
    <mergeCell ref="N36:R36"/>
    <mergeCell ref="S36:W36"/>
    <mergeCell ref="X36:AA36"/>
    <mergeCell ref="AB36:AF36"/>
    <mergeCell ref="AG36:AK36"/>
    <mergeCell ref="AL36:AO36"/>
    <mergeCell ref="AP36:BD36"/>
    <mergeCell ref="B37:C37"/>
    <mergeCell ref="D37:H37"/>
    <mergeCell ref="I37:M37"/>
    <mergeCell ref="N37:R37"/>
    <mergeCell ref="S37:W37"/>
    <mergeCell ref="X37:AA37"/>
    <mergeCell ref="AB37:AF37"/>
    <mergeCell ref="AG37:AK37"/>
    <mergeCell ref="AL37:AO37"/>
    <mergeCell ref="AP37:BD37"/>
    <mergeCell ref="B38:C38"/>
    <mergeCell ref="D38:H38"/>
    <mergeCell ref="I38:M38"/>
    <mergeCell ref="N38:R38"/>
    <mergeCell ref="S38:W38"/>
    <mergeCell ref="X38:AA38"/>
    <mergeCell ref="AB38:AF38"/>
    <mergeCell ref="AG38:AK38"/>
    <mergeCell ref="AL38:AO38"/>
    <mergeCell ref="AP38:BD38"/>
    <mergeCell ref="B39:W39"/>
    <mergeCell ref="X39:AA39"/>
    <mergeCell ref="AB39:AF39"/>
    <mergeCell ref="AG39:AK39"/>
    <mergeCell ref="AL39:AO39"/>
    <mergeCell ref="AP39:BD39"/>
    <mergeCell ref="B41:AO41"/>
    <mergeCell ref="AP41:BD41"/>
    <mergeCell ref="B42:C42"/>
    <mergeCell ref="D42:G42"/>
    <mergeCell ref="H42:AD42"/>
    <mergeCell ref="AE42:AF42"/>
    <mergeCell ref="AG42:AO42"/>
    <mergeCell ref="AP42:BD53"/>
    <mergeCell ref="B43:C43"/>
    <mergeCell ref="D43:G43"/>
    <mergeCell ref="B44:C44"/>
    <mergeCell ref="D44:G44"/>
    <mergeCell ref="H44:AD44"/>
    <mergeCell ref="AE44:AF44"/>
    <mergeCell ref="AE45:AF45"/>
    <mergeCell ref="H43:AD43"/>
    <mergeCell ref="AE43:AF43"/>
    <mergeCell ref="D45:G45"/>
    <mergeCell ref="H45:AD45"/>
    <mergeCell ref="AG43:AO43"/>
    <mergeCell ref="AG44:AO44"/>
    <mergeCell ref="AG47:AO47"/>
    <mergeCell ref="AG45:AO45"/>
    <mergeCell ref="B46:C46"/>
    <mergeCell ref="D46:G46"/>
    <mergeCell ref="H46:AD46"/>
    <mergeCell ref="AE46:AF46"/>
    <mergeCell ref="AG46:AO46"/>
    <mergeCell ref="B45:C45"/>
    <mergeCell ref="B47:C47"/>
    <mergeCell ref="D47:AD47"/>
    <mergeCell ref="AE47:AF47"/>
    <mergeCell ref="AE48:AF48"/>
    <mergeCell ref="AG48:AO48"/>
    <mergeCell ref="B49:C49"/>
    <mergeCell ref="D49:G49"/>
    <mergeCell ref="H49:AD49"/>
    <mergeCell ref="AE49:AF49"/>
    <mergeCell ref="AG49:AO49"/>
    <mergeCell ref="B48:C48"/>
    <mergeCell ref="D48:G48"/>
    <mergeCell ref="H48:I48"/>
    <mergeCell ref="J48:AD48"/>
    <mergeCell ref="AE50:AF50"/>
    <mergeCell ref="AG50:AO50"/>
    <mergeCell ref="B51:C51"/>
    <mergeCell ref="D51:AD51"/>
    <mergeCell ref="AE51:AF51"/>
    <mergeCell ref="AG51:AO51"/>
    <mergeCell ref="B50:C50"/>
    <mergeCell ref="D50:G50"/>
    <mergeCell ref="H50:I50"/>
    <mergeCell ref="J50:AD50"/>
    <mergeCell ref="AG52:AO52"/>
    <mergeCell ref="B53:AD53"/>
    <mergeCell ref="AE53:AF53"/>
    <mergeCell ref="AG53:AO53"/>
    <mergeCell ref="B52:C52"/>
    <mergeCell ref="D52:G52"/>
    <mergeCell ref="H52:AD52"/>
    <mergeCell ref="AE52:AF52"/>
  </mergeCells>
  <phoneticPr fontId="0" type="noConversion"/>
  <printOptions horizontalCentered="1"/>
  <pageMargins left="0.39370078740157483" right="0.19685039370078741" top="0.19685039370078741" bottom="0" header="0.51181102362204722" footer="0.31496062992125984"/>
  <pageSetup paperSize="9" scale="98" orientation="portrait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MAIO</vt:lpstr>
      <vt:lpstr>MAIO!Area_de_impressao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98</dc:creator>
  <cp:lastModifiedBy>Rodrigo S</cp:lastModifiedBy>
  <cp:lastPrinted>2007-11-09T20:37:22Z</cp:lastPrinted>
  <dcterms:created xsi:type="dcterms:W3CDTF">2006-05-24T17:50:50Z</dcterms:created>
  <dcterms:modified xsi:type="dcterms:W3CDTF">2022-05-22T18:39:46Z</dcterms:modified>
</cp:coreProperties>
</file>